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sikes\Nextcloud\MIAN\2019 Mian\2019 Mian Test Data\"/>
    </mc:Choice>
  </mc:AlternateContent>
  <xr:revisionPtr revIDLastSave="0" documentId="13_ncr:1_{C00B5730-C301-45A3-94B9-77EDB9500F0F}" xr6:coauthVersionLast="45" xr6:coauthVersionMax="45" xr10:uidLastSave="{00000000-0000-0000-0000-000000000000}"/>
  <bookViews>
    <workbookView xWindow="28680" yWindow="-120" windowWidth="29040" windowHeight="17640" activeTab="1" xr2:uid="{00000000-000D-0000-FFFF-FFFF00000000}"/>
  </bookViews>
  <sheets>
    <sheet name="Sheet1" sheetId="1" r:id="rId1"/>
    <sheet name="SAS Ready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" i="2" l="1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2" i="2"/>
  <c r="S3" i="1" l="1"/>
  <c r="T3" i="1"/>
  <c r="U3" i="1"/>
  <c r="S4" i="1"/>
  <c r="T4" i="1"/>
  <c r="U4" i="1"/>
  <c r="S5" i="1"/>
  <c r="T5" i="1"/>
  <c r="U5" i="1"/>
  <c r="S6" i="1"/>
  <c r="T6" i="1"/>
  <c r="U6" i="1"/>
  <c r="S7" i="1"/>
  <c r="T7" i="1"/>
  <c r="U7" i="1"/>
  <c r="S8" i="1"/>
  <c r="T8" i="1"/>
  <c r="U8" i="1"/>
  <c r="S9" i="1"/>
  <c r="T9" i="1"/>
  <c r="U9" i="1"/>
  <c r="S10" i="1"/>
  <c r="T10" i="1"/>
  <c r="U10" i="1"/>
  <c r="S11" i="1"/>
  <c r="T11" i="1"/>
  <c r="U11" i="1"/>
  <c r="S12" i="1"/>
  <c r="T12" i="1"/>
  <c r="U12" i="1"/>
  <c r="S13" i="1"/>
  <c r="T13" i="1"/>
  <c r="U13" i="1"/>
  <c r="S14" i="1"/>
  <c r="T14" i="1"/>
  <c r="U14" i="1"/>
  <c r="S15" i="1"/>
  <c r="T15" i="1"/>
  <c r="U15" i="1"/>
  <c r="S16" i="1"/>
  <c r="T16" i="1"/>
  <c r="U16" i="1"/>
  <c r="S17" i="1"/>
  <c r="T17" i="1"/>
  <c r="U17" i="1"/>
  <c r="S18" i="1"/>
  <c r="T18" i="1"/>
  <c r="U18" i="1"/>
  <c r="S19" i="1"/>
  <c r="T19" i="1"/>
  <c r="U19" i="1"/>
  <c r="S20" i="1"/>
  <c r="T20" i="1"/>
  <c r="U20" i="1"/>
  <c r="S21" i="1"/>
  <c r="T21" i="1"/>
  <c r="U21" i="1"/>
  <c r="S22" i="1"/>
  <c r="T22" i="1"/>
  <c r="U22" i="1"/>
  <c r="S23" i="1"/>
  <c r="T23" i="1"/>
  <c r="U23" i="1"/>
  <c r="S24" i="1"/>
  <c r="T24" i="1"/>
  <c r="U24" i="1"/>
  <c r="S25" i="1"/>
  <c r="T25" i="1"/>
  <c r="U25" i="1"/>
  <c r="S26" i="1"/>
  <c r="T26" i="1"/>
  <c r="U26" i="1"/>
  <c r="S27" i="1"/>
  <c r="T27" i="1"/>
  <c r="U27" i="1"/>
  <c r="S28" i="1"/>
  <c r="T28" i="1"/>
  <c r="U28" i="1"/>
  <c r="S29" i="1"/>
  <c r="T29" i="1"/>
  <c r="U29" i="1"/>
  <c r="S30" i="1"/>
  <c r="T30" i="1"/>
  <c r="U30" i="1"/>
  <c r="S31" i="1"/>
  <c r="T31" i="1"/>
  <c r="U31" i="1"/>
  <c r="S32" i="1"/>
  <c r="T32" i="1"/>
  <c r="U32" i="1"/>
  <c r="S33" i="1"/>
  <c r="T33" i="1"/>
  <c r="U33" i="1"/>
  <c r="S34" i="1"/>
  <c r="T34" i="1"/>
  <c r="U34" i="1"/>
  <c r="S35" i="1"/>
  <c r="T35" i="1"/>
  <c r="U35" i="1"/>
  <c r="S36" i="1"/>
  <c r="T36" i="1"/>
  <c r="U36" i="1"/>
  <c r="S37" i="1"/>
  <c r="T37" i="1"/>
  <c r="U37" i="1"/>
  <c r="S38" i="1"/>
  <c r="T38" i="1"/>
  <c r="U38" i="1"/>
  <c r="S39" i="1"/>
  <c r="T39" i="1"/>
  <c r="U39" i="1"/>
  <c r="S40" i="1"/>
  <c r="T40" i="1"/>
  <c r="U40" i="1"/>
  <c r="S41" i="1"/>
  <c r="T41" i="1"/>
  <c r="U41" i="1"/>
  <c r="S42" i="1"/>
  <c r="T42" i="1"/>
  <c r="U42" i="1"/>
  <c r="S43" i="1"/>
  <c r="T43" i="1"/>
  <c r="U43" i="1"/>
  <c r="S44" i="1"/>
  <c r="T44" i="1"/>
  <c r="U44" i="1"/>
  <c r="S45" i="1"/>
  <c r="T45" i="1"/>
  <c r="U45" i="1"/>
  <c r="S46" i="1"/>
  <c r="T46" i="1"/>
  <c r="U46" i="1"/>
  <c r="S47" i="1"/>
  <c r="T47" i="1"/>
  <c r="U47" i="1"/>
  <c r="S48" i="1"/>
  <c r="T48" i="1"/>
  <c r="U48" i="1"/>
  <c r="S49" i="1"/>
  <c r="T49" i="1"/>
  <c r="U49" i="1"/>
  <c r="U2" i="1"/>
  <c r="T2" i="1"/>
  <c r="S2" i="1"/>
</calcChain>
</file>

<file path=xl/sharedStrings.xml><?xml version="1.0" encoding="utf-8"?>
<sst xmlns="http://schemas.openxmlformats.org/spreadsheetml/2006/main" count="832" uniqueCount="98">
  <si>
    <t>Genotype</t>
  </si>
  <si>
    <t>Loc</t>
  </si>
  <si>
    <t>Test</t>
  </si>
  <si>
    <t>Year</t>
  </si>
  <si>
    <t>Rep</t>
  </si>
  <si>
    <t>Code</t>
  </si>
  <si>
    <t>Plot</t>
  </si>
  <si>
    <t>FC</t>
  </si>
  <si>
    <t>MD</t>
  </si>
  <si>
    <t>PC</t>
  </si>
  <si>
    <t>LOD</t>
  </si>
  <si>
    <t>HT</t>
  </si>
  <si>
    <t>Yield</t>
  </si>
  <si>
    <t>SDWT</t>
  </si>
  <si>
    <t>Note1</t>
  </si>
  <si>
    <t>ID</t>
  </si>
  <si>
    <t>1*Miller*LP HOLL*Cas*2019*15</t>
  </si>
  <si>
    <t>Miller</t>
  </si>
  <si>
    <t>Cas</t>
  </si>
  <si>
    <t>LP HOLL</t>
  </si>
  <si>
    <t>39*LLL05-14*LP HOLL*Cas*2019*16</t>
  </si>
  <si>
    <t>LLL05-14</t>
  </si>
  <si>
    <t>13*N16-1258*LP HOLL*Cas*2019*3</t>
  </si>
  <si>
    <t>N16-1258</t>
  </si>
  <si>
    <t>10*N16-1288*LP HOLL*Cas*2019*6</t>
  </si>
  <si>
    <t>N16-1288</t>
  </si>
  <si>
    <t>32*N16-1286*LP HOLL*Cas*2019*4</t>
  </si>
  <si>
    <t>N16-1286</t>
  </si>
  <si>
    <t>18*N16-1292*LP HOLL*Cas*2019*8</t>
  </si>
  <si>
    <t>N16-1292</t>
  </si>
  <si>
    <t>11*N16-1287*LP HOLL*Cas*2019*5</t>
  </si>
  <si>
    <t>N16-1287</t>
  </si>
  <si>
    <t>29*LLL05-14*LP HOLL*Cas*2019*16</t>
  </si>
  <si>
    <t>23*N16-1296*LP HOLL*Cas*2019*11</t>
  </si>
  <si>
    <t>N16-1296</t>
  </si>
  <si>
    <t>20*N16-1253*LP HOLL*Cas*2019*1</t>
  </si>
  <si>
    <t>N16-1253</t>
  </si>
  <si>
    <t>22*NC-ROY*LP HOLL*Cas*2019*14</t>
  </si>
  <si>
    <t>NC-ROY</t>
  </si>
  <si>
    <t>28*N16-1258*LP HOLL*Cas*2019*3</t>
  </si>
  <si>
    <t>21*Miller*LP HOLL*Cas*2019*15</t>
  </si>
  <si>
    <t>19*N16-1297*LP HOLL*Cas*2019*12</t>
  </si>
  <si>
    <t>N16-1297</t>
  </si>
  <si>
    <t>33*N16-1254*LP HOLL*Cas*2019*2</t>
  </si>
  <si>
    <t>N16-1254</t>
  </si>
  <si>
    <t>30*N16-1288*LP HOLL*Cas*2019*6</t>
  </si>
  <si>
    <t>12*N16-1297*LP HOLL*Cas*2019*12</t>
  </si>
  <si>
    <t>38*N16-1294*LP HOLL*Cas*2019*9</t>
  </si>
  <si>
    <t>N16-1294</t>
  </si>
  <si>
    <t>31*N16-1287*LP HOLL*Cas*2019*5</t>
  </si>
  <si>
    <t>9*NC15-25030*LP HOLL*Cas*2019*13</t>
  </si>
  <si>
    <t>NC15-25030</t>
  </si>
  <si>
    <t>43*N16-1287*LP HOLL*Cas*2019*5</t>
  </si>
  <si>
    <t>40*N16-1292*LP HOLL*Cas*2019*8</t>
  </si>
  <si>
    <t>2*N16-1254*LP HOLL*Cas*2019*2</t>
  </si>
  <si>
    <t>48*Miller*LP HOLL*Cas*2019*15</t>
  </si>
  <si>
    <t>41*N16-1289*LP HOLL*Cas*2019*7</t>
  </si>
  <si>
    <t>N16-1289</t>
  </si>
  <si>
    <t>3*N16-1292*LP HOLL*Cas*2019*8</t>
  </si>
  <si>
    <t>47*N16-1253*LP HOLL*Cas*2019*1</t>
  </si>
  <si>
    <t>42*N16-1286*LP HOLL*Cas*2019*4</t>
  </si>
  <si>
    <t>8*LLL05-14*LP HOLL*Cas*2019*16</t>
  </si>
  <si>
    <t>44*N16-1288*LP HOLL*Cas*2019*6</t>
  </si>
  <si>
    <t>37*NC-ROY*LP HOLL*Cas*2019*14</t>
  </si>
  <si>
    <t>7*N16-1294*LP HOLL*Cas*2019*9</t>
  </si>
  <si>
    <t>25*N16-1295*LP HOLL*Cas*2019*10</t>
  </si>
  <si>
    <t>N16-1295</t>
  </si>
  <si>
    <t>34*NC15-25030*LP HOLL*Cas*2019*13</t>
  </si>
  <si>
    <t>4*N16-1289*LP HOLL*Cas*2019*7</t>
  </si>
  <si>
    <t>26*N16-1294*LP HOLL*Cas*2019*9</t>
  </si>
  <si>
    <t>27*N16-1289*LP HOLL*Cas*2019*7</t>
  </si>
  <si>
    <t>5*N16-1296*LP HOLL*Cas*2019*11</t>
  </si>
  <si>
    <t>35*N16-1296*LP HOLL*Cas*2019*11</t>
  </si>
  <si>
    <t>24*N16-1254*LP HOLL*Cas*2019*2</t>
  </si>
  <si>
    <t>6*N16-1295*LP HOLL*Cas*2019*10</t>
  </si>
  <si>
    <t>36*N16-1295*LP HOLL*Cas*2019*10</t>
  </si>
  <si>
    <t>17*NC15-25030*LP HOLL*Cas*2019*13</t>
  </si>
  <si>
    <t>15*N16-1253*LP HOLL*Cas*2019*1</t>
  </si>
  <si>
    <t>45*N16-1297*LP HOLL*Cas*2019*12</t>
  </si>
  <si>
    <t>14*N16-1286*LP HOLL*Cas*2019*4</t>
  </si>
  <si>
    <t>16*NC-ROY*LP HOLL*Cas*2019*14</t>
  </si>
  <si>
    <t>46*N16-1258*LP HOLL*Cas*2019*3</t>
  </si>
  <si>
    <t>P</t>
  </si>
  <si>
    <t>g</t>
  </si>
  <si>
    <t>W</t>
  </si>
  <si>
    <t>M</t>
  </si>
  <si>
    <t>t</t>
  </si>
  <si>
    <t>s</t>
  </si>
  <si>
    <t>.</t>
  </si>
  <si>
    <t>SQ</t>
  </si>
  <si>
    <t>Pro</t>
  </si>
  <si>
    <t>Oil</t>
  </si>
  <si>
    <t>P+O</t>
  </si>
  <si>
    <t>Pro 13%M</t>
  </si>
  <si>
    <t>Oil 13%M</t>
  </si>
  <si>
    <t>Linolenic</t>
  </si>
  <si>
    <t>Oleic</t>
  </si>
  <si>
    <t>PO13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</si>
</sst>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Times New Roman"/>
      <family val="2"/>
    </font>
    <font>
      <sz val="11"/>
      <color theme="1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FF000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top"/>
    </xf>
    <xf numFmtId="2" fontId="2" fillId="0" borderId="0" xfId="0" applyNumberFormat="1" applyFont="1" applyAlignment="1">
      <alignment horizontal="center" vertical="top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2" fontId="1" fillId="0" borderId="0" xfId="0" applyNumberFormat="1" applyFont="1" applyAlignment="1">
      <alignment horizontal="center"/>
    </xf>
    <xf numFmtId="2" fontId="1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4" fillId="0" borderId="0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</xdr:row>
          <xdr:rowOff>9525</xdr:rowOff>
        </xdr:from>
        <xdr:to>
          <xdr:col>26</xdr:col>
          <xdr:colOff>342900</xdr:colOff>
          <xdr:row>3</xdr:row>
          <xdr:rowOff>95250</xdr:rowOff>
        </xdr:to>
        <xdr:sp macro="" textlink="">
          <xdr:nvSpPr>
            <xdr:cNvPr id="2049" name="cmd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</xdr:row>
          <xdr:rowOff>9525</xdr:rowOff>
        </xdr:from>
        <xdr:to>
          <xdr:col>27</xdr:col>
          <xdr:colOff>342900</xdr:colOff>
          <xdr:row>3</xdr:row>
          <xdr:rowOff>95250</xdr:rowOff>
        </xdr:to>
        <xdr:sp macro="" textlink="">
          <xdr:nvSpPr>
            <xdr:cNvPr id="3073" name="cmdRu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4878DC3-F1A6-4B7E-975F-1DAF1A0A32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9"/>
  <sheetViews>
    <sheetView workbookViewId="0">
      <selection activeCell="F9" sqref="F9"/>
    </sheetView>
  </sheetViews>
  <sheetFormatPr defaultRowHeight="15" x14ac:dyDescent="0.25"/>
  <cols>
    <col min="1" max="1" width="44.33203125" style="1" bestFit="1" customWidth="1"/>
    <col min="2" max="2" width="14.83203125" style="1" customWidth="1"/>
    <col min="3" max="3" width="9.33203125" style="1"/>
    <col min="4" max="4" width="12" style="1" customWidth="1"/>
    <col min="5" max="7" width="9.33203125" style="1"/>
    <col min="8" max="15" width="9.33203125" style="1" customWidth="1"/>
    <col min="16" max="16" width="6.83203125" style="1" customWidth="1"/>
    <col min="17" max="17" width="6.83203125" style="8" customWidth="1"/>
    <col min="18" max="18" width="7.1640625" style="8" customWidth="1"/>
    <col min="19" max="19" width="8.1640625" style="8" bestFit="1" customWidth="1"/>
    <col min="20" max="20" width="12" style="8" bestFit="1" customWidth="1"/>
    <col min="21" max="21" width="11.33203125" style="8" bestFit="1" customWidth="1"/>
    <col min="22" max="22" width="10" style="8" bestFit="1" customWidth="1"/>
    <col min="23" max="23" width="6.83203125" style="8" customWidth="1"/>
    <col min="24" max="24" width="7.6640625" style="1" customWidth="1"/>
    <col min="25" max="16384" width="9.33203125" style="1"/>
  </cols>
  <sheetData>
    <row r="1" spans="1:24" x14ac:dyDescent="0.25">
      <c r="A1" s="1" t="s">
        <v>15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1" t="s">
        <v>13</v>
      </c>
      <c r="P1" s="2" t="s">
        <v>89</v>
      </c>
      <c r="Q1" s="8" t="s">
        <v>90</v>
      </c>
      <c r="R1" s="8" t="s">
        <v>91</v>
      </c>
      <c r="S1" s="3" t="s">
        <v>92</v>
      </c>
      <c r="T1" s="3" t="s">
        <v>93</v>
      </c>
      <c r="U1" s="3" t="s">
        <v>94</v>
      </c>
      <c r="V1" s="8" t="s">
        <v>95</v>
      </c>
      <c r="W1" s="8" t="s">
        <v>96</v>
      </c>
      <c r="X1" s="2" t="s">
        <v>14</v>
      </c>
    </row>
    <row r="2" spans="1:24" s="11" customFormat="1" x14ac:dyDescent="0.25">
      <c r="A2" s="11" t="s">
        <v>77</v>
      </c>
      <c r="B2" s="4" t="s">
        <v>36</v>
      </c>
      <c r="C2" s="4" t="s">
        <v>18</v>
      </c>
      <c r="D2" s="4" t="s">
        <v>19</v>
      </c>
      <c r="E2" s="4">
        <v>2019</v>
      </c>
      <c r="F2" s="4">
        <v>1</v>
      </c>
      <c r="G2" s="4">
        <v>1</v>
      </c>
      <c r="H2" s="5">
        <v>15</v>
      </c>
      <c r="I2" s="6" t="s">
        <v>84</v>
      </c>
      <c r="J2" s="6">
        <v>18</v>
      </c>
      <c r="K2" s="6" t="s">
        <v>83</v>
      </c>
      <c r="L2" s="6">
        <v>2</v>
      </c>
      <c r="M2" s="7">
        <v>29</v>
      </c>
      <c r="N2" s="6">
        <v>424.5</v>
      </c>
      <c r="O2" s="6">
        <v>14.4</v>
      </c>
      <c r="P2" s="6">
        <v>2</v>
      </c>
      <c r="Q2" s="8">
        <v>42.65</v>
      </c>
      <c r="R2" s="8">
        <v>19.2</v>
      </c>
      <c r="S2" s="9">
        <f>Q2+R2</f>
        <v>61.849999999999994</v>
      </c>
      <c r="T2" s="9">
        <f>Q2*0.87</f>
        <v>37.105499999999999</v>
      </c>
      <c r="U2" s="9">
        <f>R2*0.87</f>
        <v>16.704000000000001</v>
      </c>
      <c r="V2" s="3">
        <v>4.2300000000000004</v>
      </c>
      <c r="W2" s="3">
        <v>72.89</v>
      </c>
      <c r="X2" s="12" t="s">
        <v>88</v>
      </c>
    </row>
    <row r="3" spans="1:24" s="11" customFormat="1" x14ac:dyDescent="0.25">
      <c r="A3" s="11" t="s">
        <v>35</v>
      </c>
      <c r="B3" s="4" t="s">
        <v>36</v>
      </c>
      <c r="C3" s="4" t="s">
        <v>18</v>
      </c>
      <c r="D3" s="4" t="s">
        <v>19</v>
      </c>
      <c r="E3" s="4">
        <v>2019</v>
      </c>
      <c r="F3" s="4">
        <v>2</v>
      </c>
      <c r="G3" s="4">
        <v>1</v>
      </c>
      <c r="H3" s="5">
        <v>20</v>
      </c>
      <c r="I3" s="6" t="s">
        <v>84</v>
      </c>
      <c r="J3" s="6">
        <v>13</v>
      </c>
      <c r="K3" s="6" t="s">
        <v>83</v>
      </c>
      <c r="L3" s="6">
        <v>2</v>
      </c>
      <c r="M3" s="7">
        <v>34</v>
      </c>
      <c r="N3" s="6">
        <v>728.9</v>
      </c>
      <c r="O3" s="6">
        <v>12.6</v>
      </c>
      <c r="P3" s="6">
        <v>1.5</v>
      </c>
      <c r="Q3" s="8">
        <v>41.77</v>
      </c>
      <c r="R3" s="8">
        <v>20.440000000000001</v>
      </c>
      <c r="S3" s="9">
        <f t="shared" ref="S3:S49" si="0">Q3+R3</f>
        <v>62.210000000000008</v>
      </c>
      <c r="T3" s="9">
        <f t="shared" ref="T3:T49" si="1">Q3*0.87</f>
        <v>36.3399</v>
      </c>
      <c r="U3" s="9">
        <f t="shared" ref="U3:U49" si="2">R3*0.87</f>
        <v>17.782800000000002</v>
      </c>
      <c r="V3" s="3">
        <v>3.56</v>
      </c>
      <c r="W3" s="3">
        <v>71.33</v>
      </c>
      <c r="X3" s="12" t="s">
        <v>88</v>
      </c>
    </row>
    <row r="4" spans="1:24" s="11" customFormat="1" x14ac:dyDescent="0.25">
      <c r="A4" s="11" t="s">
        <v>59</v>
      </c>
      <c r="B4" s="4" t="s">
        <v>36</v>
      </c>
      <c r="C4" s="4" t="s">
        <v>18</v>
      </c>
      <c r="D4" s="4" t="s">
        <v>19</v>
      </c>
      <c r="E4" s="4">
        <v>2019</v>
      </c>
      <c r="F4" s="4">
        <v>3</v>
      </c>
      <c r="G4" s="4">
        <v>1</v>
      </c>
      <c r="H4" s="5">
        <v>47</v>
      </c>
      <c r="I4" s="6" t="s">
        <v>84</v>
      </c>
      <c r="J4" s="7" t="s">
        <v>88</v>
      </c>
      <c r="K4" s="6" t="s">
        <v>83</v>
      </c>
      <c r="L4" s="7" t="s">
        <v>88</v>
      </c>
      <c r="M4" s="7" t="s">
        <v>88</v>
      </c>
      <c r="N4" s="6">
        <v>739.5</v>
      </c>
      <c r="O4" s="6" t="s">
        <v>88</v>
      </c>
      <c r="P4" s="12" t="s">
        <v>88</v>
      </c>
      <c r="Q4" s="8">
        <v>41.75</v>
      </c>
      <c r="R4" s="8">
        <v>20.59</v>
      </c>
      <c r="S4" s="9">
        <f t="shared" si="0"/>
        <v>62.34</v>
      </c>
      <c r="T4" s="9">
        <f t="shared" si="1"/>
        <v>36.322499999999998</v>
      </c>
      <c r="U4" s="9">
        <f t="shared" si="2"/>
        <v>17.9133</v>
      </c>
      <c r="V4" s="3">
        <v>3.57</v>
      </c>
      <c r="W4" s="3">
        <v>71.489999999999995</v>
      </c>
      <c r="X4" s="12" t="s">
        <v>88</v>
      </c>
    </row>
    <row r="5" spans="1:24" s="11" customFormat="1" x14ac:dyDescent="0.25">
      <c r="A5" s="11" t="s">
        <v>54</v>
      </c>
      <c r="B5" s="4" t="s">
        <v>44</v>
      </c>
      <c r="C5" s="4" t="s">
        <v>18</v>
      </c>
      <c r="D5" s="4" t="s">
        <v>19</v>
      </c>
      <c r="E5" s="4">
        <v>2019</v>
      </c>
      <c r="F5" s="4">
        <v>1</v>
      </c>
      <c r="G5" s="4">
        <v>2</v>
      </c>
      <c r="H5" s="5">
        <v>2</v>
      </c>
      <c r="I5" s="6" t="s">
        <v>84</v>
      </c>
      <c r="J5" s="6">
        <v>25</v>
      </c>
      <c r="K5" s="6" t="s">
        <v>83</v>
      </c>
      <c r="L5" s="6">
        <v>2.5</v>
      </c>
      <c r="M5" s="7">
        <v>31</v>
      </c>
      <c r="N5" s="6">
        <v>498.9</v>
      </c>
      <c r="O5" s="6">
        <v>15.4</v>
      </c>
      <c r="P5" s="6">
        <v>1.5</v>
      </c>
      <c r="Q5" s="8">
        <v>43.59</v>
      </c>
      <c r="R5" s="8">
        <v>19.78</v>
      </c>
      <c r="S5" s="9">
        <f t="shared" si="0"/>
        <v>63.370000000000005</v>
      </c>
      <c r="T5" s="9">
        <f t="shared" si="1"/>
        <v>37.923300000000005</v>
      </c>
      <c r="U5" s="9">
        <f t="shared" si="2"/>
        <v>17.208600000000001</v>
      </c>
      <c r="V5" s="3">
        <v>4.1500000000000004</v>
      </c>
      <c r="W5" s="3">
        <v>64.400000000000006</v>
      </c>
      <c r="X5" s="12" t="s">
        <v>88</v>
      </c>
    </row>
    <row r="6" spans="1:24" s="11" customFormat="1" x14ac:dyDescent="0.25">
      <c r="A6" s="11" t="s">
        <v>73</v>
      </c>
      <c r="B6" s="4" t="s">
        <v>44</v>
      </c>
      <c r="C6" s="4" t="s">
        <v>18</v>
      </c>
      <c r="D6" s="4" t="s">
        <v>19</v>
      </c>
      <c r="E6" s="4">
        <v>2019</v>
      </c>
      <c r="F6" s="4">
        <v>2</v>
      </c>
      <c r="G6" s="4">
        <v>2</v>
      </c>
      <c r="H6" s="5">
        <v>24</v>
      </c>
      <c r="I6" s="6" t="s">
        <v>84</v>
      </c>
      <c r="J6" s="6">
        <v>22</v>
      </c>
      <c r="K6" s="6" t="s">
        <v>83</v>
      </c>
      <c r="L6" s="6">
        <v>2.5</v>
      </c>
      <c r="M6" s="7">
        <v>27</v>
      </c>
      <c r="N6" s="6">
        <v>903.6</v>
      </c>
      <c r="O6" s="6">
        <v>13.1</v>
      </c>
      <c r="P6" s="6">
        <v>1.5</v>
      </c>
      <c r="Q6" s="8">
        <v>41.27</v>
      </c>
      <c r="R6" s="8">
        <v>21.02</v>
      </c>
      <c r="S6" s="9">
        <f t="shared" si="0"/>
        <v>62.290000000000006</v>
      </c>
      <c r="T6" s="9">
        <f t="shared" si="1"/>
        <v>35.904900000000005</v>
      </c>
      <c r="U6" s="9">
        <f t="shared" si="2"/>
        <v>18.287399999999998</v>
      </c>
      <c r="V6" s="3">
        <v>4.3600000000000003</v>
      </c>
      <c r="W6" s="3">
        <v>56.36</v>
      </c>
      <c r="X6" s="12" t="s">
        <v>88</v>
      </c>
    </row>
    <row r="7" spans="1:24" s="11" customFormat="1" x14ac:dyDescent="0.25">
      <c r="A7" s="11" t="s">
        <v>43</v>
      </c>
      <c r="B7" s="4" t="s">
        <v>44</v>
      </c>
      <c r="C7" s="4" t="s">
        <v>18</v>
      </c>
      <c r="D7" s="4" t="s">
        <v>19</v>
      </c>
      <c r="E7" s="4">
        <v>2019</v>
      </c>
      <c r="F7" s="4">
        <v>3</v>
      </c>
      <c r="G7" s="4">
        <v>2</v>
      </c>
      <c r="H7" s="5">
        <v>33</v>
      </c>
      <c r="I7" s="6" t="s">
        <v>84</v>
      </c>
      <c r="J7" s="7" t="s">
        <v>88</v>
      </c>
      <c r="K7" s="6" t="s">
        <v>83</v>
      </c>
      <c r="L7" s="7" t="s">
        <v>88</v>
      </c>
      <c r="M7" s="7" t="s">
        <v>88</v>
      </c>
      <c r="N7" s="6">
        <v>510</v>
      </c>
      <c r="O7" s="6" t="s">
        <v>88</v>
      </c>
      <c r="P7" s="12" t="s">
        <v>88</v>
      </c>
      <c r="Q7" s="8">
        <v>41.53</v>
      </c>
      <c r="R7" s="8">
        <v>20.69</v>
      </c>
      <c r="S7" s="9">
        <f t="shared" si="0"/>
        <v>62.22</v>
      </c>
      <c r="T7" s="9">
        <f t="shared" si="1"/>
        <v>36.131100000000004</v>
      </c>
      <c r="U7" s="9">
        <f t="shared" si="2"/>
        <v>18.000299999999999</v>
      </c>
      <c r="V7" s="3">
        <v>3.2</v>
      </c>
      <c r="W7" s="3">
        <v>67.16</v>
      </c>
      <c r="X7" s="12" t="s">
        <v>88</v>
      </c>
    </row>
    <row r="8" spans="1:24" s="11" customFormat="1" x14ac:dyDescent="0.25">
      <c r="A8" s="11" t="s">
        <v>22</v>
      </c>
      <c r="B8" s="4" t="s">
        <v>23</v>
      </c>
      <c r="C8" s="4" t="s">
        <v>18</v>
      </c>
      <c r="D8" s="4" t="s">
        <v>19</v>
      </c>
      <c r="E8" s="4">
        <v>2019</v>
      </c>
      <c r="F8" s="4">
        <v>1</v>
      </c>
      <c r="G8" s="4">
        <v>3</v>
      </c>
      <c r="H8" s="5">
        <v>13</v>
      </c>
      <c r="I8" s="6" t="s">
        <v>85</v>
      </c>
      <c r="J8" s="10">
        <v>16</v>
      </c>
      <c r="K8" s="6" t="s">
        <v>83</v>
      </c>
      <c r="L8" s="6">
        <v>2.5</v>
      </c>
      <c r="M8" s="7">
        <v>32</v>
      </c>
      <c r="N8" s="6">
        <v>744.7</v>
      </c>
      <c r="O8" s="6">
        <v>14.8</v>
      </c>
      <c r="P8" s="6">
        <v>1.5</v>
      </c>
      <c r="Q8" s="8">
        <v>44.21</v>
      </c>
      <c r="R8" s="8">
        <v>21.24</v>
      </c>
      <c r="S8" s="9">
        <f t="shared" si="0"/>
        <v>65.45</v>
      </c>
      <c r="T8" s="9">
        <f t="shared" si="1"/>
        <v>38.462699999999998</v>
      </c>
      <c r="U8" s="9">
        <f t="shared" si="2"/>
        <v>18.4788</v>
      </c>
      <c r="V8" s="3">
        <v>2.91</v>
      </c>
      <c r="W8" s="3">
        <v>63.25</v>
      </c>
      <c r="X8" s="12" t="s">
        <v>88</v>
      </c>
    </row>
    <row r="9" spans="1:24" s="11" customFormat="1" x14ac:dyDescent="0.25">
      <c r="A9" s="11" t="s">
        <v>39</v>
      </c>
      <c r="B9" s="4" t="s">
        <v>23</v>
      </c>
      <c r="C9" s="4" t="s">
        <v>18</v>
      </c>
      <c r="D9" s="4" t="s">
        <v>19</v>
      </c>
      <c r="E9" s="4">
        <v>2019</v>
      </c>
      <c r="F9" s="4">
        <v>2</v>
      </c>
      <c r="G9" s="4">
        <v>3</v>
      </c>
      <c r="H9" s="5">
        <v>28</v>
      </c>
      <c r="I9" s="6" t="s">
        <v>85</v>
      </c>
      <c r="J9" s="5">
        <v>14</v>
      </c>
      <c r="K9" s="6" t="s">
        <v>83</v>
      </c>
      <c r="L9" s="6">
        <v>2.5</v>
      </c>
      <c r="M9" s="7">
        <v>27</v>
      </c>
      <c r="N9" s="6">
        <v>797.1</v>
      </c>
      <c r="O9" s="6">
        <v>12.5</v>
      </c>
      <c r="P9" s="6">
        <v>1</v>
      </c>
      <c r="Q9" s="8">
        <v>40.54</v>
      </c>
      <c r="R9" s="8">
        <v>22.93</v>
      </c>
      <c r="S9" s="9">
        <f t="shared" si="0"/>
        <v>63.47</v>
      </c>
      <c r="T9" s="9">
        <f t="shared" si="1"/>
        <v>35.269799999999996</v>
      </c>
      <c r="U9" s="9">
        <f t="shared" si="2"/>
        <v>19.949100000000001</v>
      </c>
      <c r="V9" s="3">
        <v>4.08</v>
      </c>
      <c r="W9" s="3">
        <v>68.3</v>
      </c>
      <c r="X9" s="12" t="s">
        <v>88</v>
      </c>
    </row>
    <row r="10" spans="1:24" s="11" customFormat="1" x14ac:dyDescent="0.25">
      <c r="A10" s="11" t="s">
        <v>81</v>
      </c>
      <c r="B10" s="4" t="s">
        <v>23</v>
      </c>
      <c r="C10" s="4" t="s">
        <v>18</v>
      </c>
      <c r="D10" s="4" t="s">
        <v>19</v>
      </c>
      <c r="E10" s="4">
        <v>2019</v>
      </c>
      <c r="F10" s="4">
        <v>3</v>
      </c>
      <c r="G10" s="4">
        <v>3</v>
      </c>
      <c r="H10" s="5">
        <v>46</v>
      </c>
      <c r="I10" s="6" t="s">
        <v>85</v>
      </c>
      <c r="J10" s="7" t="s">
        <v>88</v>
      </c>
      <c r="K10" s="6" t="s">
        <v>83</v>
      </c>
      <c r="L10" s="7" t="s">
        <v>88</v>
      </c>
      <c r="M10" s="7" t="s">
        <v>88</v>
      </c>
      <c r="N10" s="6">
        <v>441.2</v>
      </c>
      <c r="O10" s="6" t="s">
        <v>88</v>
      </c>
      <c r="P10" s="12" t="s">
        <v>88</v>
      </c>
      <c r="Q10" s="8">
        <v>40.549999999999997</v>
      </c>
      <c r="R10" s="8">
        <v>22.35</v>
      </c>
      <c r="S10" s="9">
        <f t="shared" si="0"/>
        <v>62.9</v>
      </c>
      <c r="T10" s="9">
        <f t="shared" si="1"/>
        <v>35.278499999999994</v>
      </c>
      <c r="U10" s="9">
        <f t="shared" si="2"/>
        <v>19.444500000000001</v>
      </c>
      <c r="V10" s="3">
        <v>2.71</v>
      </c>
      <c r="W10" s="3">
        <v>61.05</v>
      </c>
      <c r="X10" s="12" t="s">
        <v>88</v>
      </c>
    </row>
    <row r="11" spans="1:24" s="11" customFormat="1" x14ac:dyDescent="0.25">
      <c r="A11" s="11" t="s">
        <v>79</v>
      </c>
      <c r="B11" s="4" t="s">
        <v>27</v>
      </c>
      <c r="C11" s="4" t="s">
        <v>18</v>
      </c>
      <c r="D11" s="4" t="s">
        <v>19</v>
      </c>
      <c r="E11" s="4">
        <v>2019</v>
      </c>
      <c r="F11" s="4">
        <v>1</v>
      </c>
      <c r="G11" s="4">
        <v>4</v>
      </c>
      <c r="H11" s="5">
        <v>14</v>
      </c>
      <c r="I11" s="6" t="s">
        <v>84</v>
      </c>
      <c r="J11" s="6">
        <v>30</v>
      </c>
      <c r="K11" s="6" t="s">
        <v>83</v>
      </c>
      <c r="L11" s="6">
        <v>2.5</v>
      </c>
      <c r="M11" s="7">
        <v>29</v>
      </c>
      <c r="N11" s="6">
        <v>1272.5999999999999</v>
      </c>
      <c r="O11" s="6">
        <v>14.8</v>
      </c>
      <c r="P11" s="6">
        <v>1.5</v>
      </c>
      <c r="Q11" s="8">
        <v>43.44</v>
      </c>
      <c r="R11" s="8">
        <v>21.58</v>
      </c>
      <c r="S11" s="9">
        <f t="shared" si="0"/>
        <v>65.02</v>
      </c>
      <c r="T11" s="9">
        <f t="shared" si="1"/>
        <v>37.7928</v>
      </c>
      <c r="U11" s="9">
        <f t="shared" si="2"/>
        <v>18.7746</v>
      </c>
      <c r="V11" s="3">
        <v>3.43</v>
      </c>
      <c r="W11" s="3">
        <v>73.3</v>
      </c>
      <c r="X11" s="12" t="s">
        <v>88</v>
      </c>
    </row>
    <row r="12" spans="1:24" s="11" customFormat="1" x14ac:dyDescent="0.25">
      <c r="A12" s="11" t="s">
        <v>26</v>
      </c>
      <c r="B12" s="4" t="s">
        <v>27</v>
      </c>
      <c r="C12" s="4" t="s">
        <v>18</v>
      </c>
      <c r="D12" s="4" t="s">
        <v>19</v>
      </c>
      <c r="E12" s="4">
        <v>2019</v>
      </c>
      <c r="F12" s="4">
        <v>2</v>
      </c>
      <c r="G12" s="4">
        <v>4</v>
      </c>
      <c r="H12" s="5">
        <v>32</v>
      </c>
      <c r="I12" s="6" t="s">
        <v>84</v>
      </c>
      <c r="J12" s="6">
        <v>27</v>
      </c>
      <c r="K12" s="6" t="s">
        <v>83</v>
      </c>
      <c r="L12" s="6">
        <v>2.5</v>
      </c>
      <c r="M12" s="7">
        <v>33</v>
      </c>
      <c r="N12" s="6">
        <v>1177.5999999999999</v>
      </c>
      <c r="O12" s="6">
        <v>14.7</v>
      </c>
      <c r="P12" s="6">
        <v>1</v>
      </c>
      <c r="Q12" s="8">
        <v>42.64</v>
      </c>
      <c r="R12" s="8">
        <v>22.11</v>
      </c>
      <c r="S12" s="9">
        <f t="shared" si="0"/>
        <v>64.75</v>
      </c>
      <c r="T12" s="9">
        <f t="shared" si="1"/>
        <v>37.096800000000002</v>
      </c>
      <c r="U12" s="9">
        <f t="shared" si="2"/>
        <v>19.235699999999998</v>
      </c>
      <c r="V12" s="3">
        <v>3.71</v>
      </c>
      <c r="W12" s="3">
        <v>76.61</v>
      </c>
      <c r="X12" s="12" t="s">
        <v>88</v>
      </c>
    </row>
    <row r="13" spans="1:24" s="11" customFormat="1" x14ac:dyDescent="0.25">
      <c r="A13" s="11" t="s">
        <v>60</v>
      </c>
      <c r="B13" s="4" t="s">
        <v>27</v>
      </c>
      <c r="C13" s="4" t="s">
        <v>18</v>
      </c>
      <c r="D13" s="4" t="s">
        <v>19</v>
      </c>
      <c r="E13" s="4">
        <v>2019</v>
      </c>
      <c r="F13" s="4">
        <v>3</v>
      </c>
      <c r="G13" s="4">
        <v>4</v>
      </c>
      <c r="H13" s="5">
        <v>42</v>
      </c>
      <c r="I13" s="6" t="s">
        <v>84</v>
      </c>
      <c r="J13" s="7" t="s">
        <v>88</v>
      </c>
      <c r="K13" s="6" t="s">
        <v>83</v>
      </c>
      <c r="L13" s="7" t="s">
        <v>88</v>
      </c>
      <c r="M13" s="7" t="s">
        <v>88</v>
      </c>
      <c r="N13" s="6">
        <v>866.2</v>
      </c>
      <c r="O13" s="6" t="s">
        <v>88</v>
      </c>
      <c r="P13" s="12" t="s">
        <v>88</v>
      </c>
      <c r="Q13" s="8">
        <v>41.42</v>
      </c>
      <c r="R13" s="8">
        <v>22.77</v>
      </c>
      <c r="S13" s="9">
        <f t="shared" si="0"/>
        <v>64.19</v>
      </c>
      <c r="T13" s="9">
        <f t="shared" si="1"/>
        <v>36.035400000000003</v>
      </c>
      <c r="U13" s="9">
        <f t="shared" si="2"/>
        <v>19.809899999999999</v>
      </c>
      <c r="V13" s="3">
        <v>4.78</v>
      </c>
      <c r="W13" s="3">
        <v>75.819999999999993</v>
      </c>
      <c r="X13" s="12" t="s">
        <v>88</v>
      </c>
    </row>
    <row r="14" spans="1:24" s="11" customFormat="1" x14ac:dyDescent="0.25">
      <c r="A14" s="11" t="s">
        <v>30</v>
      </c>
      <c r="B14" s="4" t="s">
        <v>31</v>
      </c>
      <c r="C14" s="4" t="s">
        <v>18</v>
      </c>
      <c r="D14" s="4" t="s">
        <v>19</v>
      </c>
      <c r="E14" s="4">
        <v>2019</v>
      </c>
      <c r="F14" s="4">
        <v>1</v>
      </c>
      <c r="G14" s="4">
        <v>5</v>
      </c>
      <c r="H14" s="5">
        <v>11</v>
      </c>
      <c r="I14" s="6" t="s">
        <v>85</v>
      </c>
      <c r="J14" s="6">
        <v>28</v>
      </c>
      <c r="K14" s="6" t="s">
        <v>83</v>
      </c>
      <c r="L14" s="6">
        <v>2.5</v>
      </c>
      <c r="M14" s="7">
        <v>36</v>
      </c>
      <c r="N14" s="6">
        <v>963.3</v>
      </c>
      <c r="O14" s="6">
        <v>14.3</v>
      </c>
      <c r="P14" s="6">
        <v>1.5</v>
      </c>
      <c r="Q14" s="8">
        <v>43.65</v>
      </c>
      <c r="R14" s="8">
        <v>21.11</v>
      </c>
      <c r="S14" s="9">
        <f t="shared" si="0"/>
        <v>64.759999999999991</v>
      </c>
      <c r="T14" s="9">
        <f t="shared" si="1"/>
        <v>37.975499999999997</v>
      </c>
      <c r="U14" s="9">
        <f t="shared" si="2"/>
        <v>18.3657</v>
      </c>
      <c r="V14" s="3">
        <v>4.24</v>
      </c>
      <c r="W14" s="3">
        <v>61.6</v>
      </c>
      <c r="X14" s="12" t="s">
        <v>88</v>
      </c>
    </row>
    <row r="15" spans="1:24" s="11" customFormat="1" x14ac:dyDescent="0.25">
      <c r="A15" s="11" t="s">
        <v>49</v>
      </c>
      <c r="B15" s="4" t="s">
        <v>31</v>
      </c>
      <c r="C15" s="4" t="s">
        <v>18</v>
      </c>
      <c r="D15" s="4" t="s">
        <v>19</v>
      </c>
      <c r="E15" s="4">
        <v>2019</v>
      </c>
      <c r="F15" s="4">
        <v>2</v>
      </c>
      <c r="G15" s="4">
        <v>5</v>
      </c>
      <c r="H15" s="5">
        <v>31</v>
      </c>
      <c r="I15" s="6" t="s">
        <v>85</v>
      </c>
      <c r="J15" s="6">
        <v>25</v>
      </c>
      <c r="K15" s="6" t="s">
        <v>83</v>
      </c>
      <c r="L15" s="6">
        <v>2.5</v>
      </c>
      <c r="M15" s="7">
        <v>34</v>
      </c>
      <c r="N15" s="6">
        <v>703</v>
      </c>
      <c r="O15" s="6">
        <v>12.5</v>
      </c>
      <c r="P15" s="6">
        <v>1</v>
      </c>
      <c r="Q15" s="8">
        <v>39.369999999999997</v>
      </c>
      <c r="R15" s="8">
        <v>22.79</v>
      </c>
      <c r="S15" s="9">
        <f t="shared" si="0"/>
        <v>62.16</v>
      </c>
      <c r="T15" s="9">
        <f t="shared" si="1"/>
        <v>34.251899999999999</v>
      </c>
      <c r="U15" s="9">
        <f t="shared" si="2"/>
        <v>19.827299999999997</v>
      </c>
      <c r="V15" s="3">
        <v>3.87</v>
      </c>
      <c r="W15" s="3">
        <v>76.739999999999995</v>
      </c>
      <c r="X15" s="12" t="s">
        <v>88</v>
      </c>
    </row>
    <row r="16" spans="1:24" s="11" customFormat="1" x14ac:dyDescent="0.25">
      <c r="A16" s="11" t="s">
        <v>52</v>
      </c>
      <c r="B16" s="4" t="s">
        <v>31</v>
      </c>
      <c r="C16" s="4" t="s">
        <v>18</v>
      </c>
      <c r="D16" s="4" t="s">
        <v>19</v>
      </c>
      <c r="E16" s="4">
        <v>2019</v>
      </c>
      <c r="F16" s="4">
        <v>3</v>
      </c>
      <c r="G16" s="4">
        <v>5</v>
      </c>
      <c r="H16" s="5">
        <v>43</v>
      </c>
      <c r="I16" s="6" t="s">
        <v>82</v>
      </c>
      <c r="J16" s="7" t="s">
        <v>88</v>
      </c>
      <c r="K16" s="6" t="s">
        <v>83</v>
      </c>
      <c r="L16" s="7" t="s">
        <v>88</v>
      </c>
      <c r="M16" s="7" t="s">
        <v>88</v>
      </c>
      <c r="N16" s="6">
        <v>545.29999999999995</v>
      </c>
      <c r="O16" s="6" t="s">
        <v>88</v>
      </c>
      <c r="P16" s="12" t="s">
        <v>88</v>
      </c>
      <c r="Q16" s="8">
        <v>36.909999999999997</v>
      </c>
      <c r="R16" s="8">
        <v>24.1</v>
      </c>
      <c r="S16" s="9">
        <f t="shared" si="0"/>
        <v>61.01</v>
      </c>
      <c r="T16" s="9">
        <f t="shared" si="1"/>
        <v>32.111699999999999</v>
      </c>
      <c r="U16" s="9">
        <f t="shared" si="2"/>
        <v>20.967000000000002</v>
      </c>
      <c r="V16" s="3">
        <v>4.33</v>
      </c>
      <c r="W16" s="3">
        <v>74.510000000000005</v>
      </c>
      <c r="X16" s="12" t="s">
        <v>88</v>
      </c>
    </row>
    <row r="17" spans="1:24" s="11" customFormat="1" x14ac:dyDescent="0.25">
      <c r="A17" s="11" t="s">
        <v>24</v>
      </c>
      <c r="B17" s="4" t="s">
        <v>25</v>
      </c>
      <c r="C17" s="4" t="s">
        <v>18</v>
      </c>
      <c r="D17" s="4" t="s">
        <v>19</v>
      </c>
      <c r="E17" s="4">
        <v>2019</v>
      </c>
      <c r="F17" s="4">
        <v>1</v>
      </c>
      <c r="G17" s="4">
        <v>6</v>
      </c>
      <c r="H17" s="5">
        <v>10</v>
      </c>
      <c r="I17" s="6" t="s">
        <v>85</v>
      </c>
      <c r="J17" s="6">
        <v>28</v>
      </c>
      <c r="K17" s="6" t="s">
        <v>83</v>
      </c>
      <c r="L17" s="6">
        <v>2.5</v>
      </c>
      <c r="M17" s="7">
        <v>30</v>
      </c>
      <c r="N17" s="6">
        <v>879.9</v>
      </c>
      <c r="O17" s="6">
        <v>13.5</v>
      </c>
      <c r="P17" s="6">
        <v>1</v>
      </c>
      <c r="Q17" s="8">
        <v>42.55</v>
      </c>
      <c r="R17" s="8">
        <v>22.2</v>
      </c>
      <c r="S17" s="9">
        <f t="shared" si="0"/>
        <v>64.75</v>
      </c>
      <c r="T17" s="9">
        <f t="shared" si="1"/>
        <v>37.018499999999996</v>
      </c>
      <c r="U17" s="9">
        <f t="shared" si="2"/>
        <v>19.314</v>
      </c>
      <c r="V17" s="3">
        <v>5.3</v>
      </c>
      <c r="W17" s="3">
        <v>63.21</v>
      </c>
      <c r="X17" s="12" t="s">
        <v>88</v>
      </c>
    </row>
    <row r="18" spans="1:24" s="11" customFormat="1" x14ac:dyDescent="0.25">
      <c r="A18" s="11" t="s">
        <v>45</v>
      </c>
      <c r="B18" s="4" t="s">
        <v>25</v>
      </c>
      <c r="C18" s="4" t="s">
        <v>18</v>
      </c>
      <c r="D18" s="4" t="s">
        <v>19</v>
      </c>
      <c r="E18" s="4">
        <v>2019</v>
      </c>
      <c r="F18" s="4">
        <v>2</v>
      </c>
      <c r="G18" s="4">
        <v>6</v>
      </c>
      <c r="H18" s="5">
        <v>30</v>
      </c>
      <c r="I18" s="6" t="s">
        <v>85</v>
      </c>
      <c r="J18" s="6">
        <v>31</v>
      </c>
      <c r="K18" s="6" t="s">
        <v>83</v>
      </c>
      <c r="L18" s="6">
        <v>2.5</v>
      </c>
      <c r="M18" s="7">
        <v>38</v>
      </c>
      <c r="N18" s="6">
        <v>861.9</v>
      </c>
      <c r="O18" s="6">
        <v>14.2</v>
      </c>
      <c r="P18" s="6">
        <v>1.5</v>
      </c>
      <c r="Q18" s="8">
        <v>42.31</v>
      </c>
      <c r="R18" s="8">
        <v>21.83</v>
      </c>
      <c r="S18" s="9">
        <f t="shared" si="0"/>
        <v>64.14</v>
      </c>
      <c r="T18" s="9">
        <f t="shared" si="1"/>
        <v>36.809699999999999</v>
      </c>
      <c r="U18" s="9">
        <f t="shared" si="2"/>
        <v>18.992099999999997</v>
      </c>
      <c r="V18" s="3">
        <v>3.97</v>
      </c>
      <c r="W18" s="3">
        <v>60.92</v>
      </c>
      <c r="X18" s="12" t="s">
        <v>88</v>
      </c>
    </row>
    <row r="19" spans="1:24" s="11" customFormat="1" x14ac:dyDescent="0.25">
      <c r="A19" s="11" t="s">
        <v>62</v>
      </c>
      <c r="B19" s="4" t="s">
        <v>25</v>
      </c>
      <c r="C19" s="4" t="s">
        <v>18</v>
      </c>
      <c r="D19" s="4" t="s">
        <v>19</v>
      </c>
      <c r="E19" s="4">
        <v>2019</v>
      </c>
      <c r="F19" s="4">
        <v>3</v>
      </c>
      <c r="G19" s="4">
        <v>6</v>
      </c>
      <c r="H19" s="5">
        <v>44</v>
      </c>
      <c r="I19" s="6" t="s">
        <v>85</v>
      </c>
      <c r="J19" s="7" t="s">
        <v>88</v>
      </c>
      <c r="K19" s="6" t="s">
        <v>83</v>
      </c>
      <c r="L19" s="7" t="s">
        <v>88</v>
      </c>
      <c r="M19" s="7" t="s">
        <v>88</v>
      </c>
      <c r="N19" s="6">
        <v>1162</v>
      </c>
      <c r="O19" s="6" t="s">
        <v>88</v>
      </c>
      <c r="P19" s="12" t="s">
        <v>88</v>
      </c>
      <c r="Q19" s="8">
        <v>40.1</v>
      </c>
      <c r="R19" s="8">
        <v>22.8</v>
      </c>
      <c r="S19" s="9">
        <f t="shared" si="0"/>
        <v>62.900000000000006</v>
      </c>
      <c r="T19" s="9">
        <f t="shared" si="1"/>
        <v>34.887</v>
      </c>
      <c r="U19" s="9">
        <f t="shared" si="2"/>
        <v>19.836000000000002</v>
      </c>
      <c r="V19" s="3">
        <v>5.01</v>
      </c>
      <c r="W19" s="3">
        <v>59.23</v>
      </c>
      <c r="X19" s="12" t="s">
        <v>88</v>
      </c>
    </row>
    <row r="20" spans="1:24" s="11" customFormat="1" x14ac:dyDescent="0.25">
      <c r="A20" s="11" t="s">
        <v>68</v>
      </c>
      <c r="B20" s="4" t="s">
        <v>57</v>
      </c>
      <c r="C20" s="4" t="s">
        <v>18</v>
      </c>
      <c r="D20" s="4" t="s">
        <v>19</v>
      </c>
      <c r="E20" s="4">
        <v>2019</v>
      </c>
      <c r="F20" s="4">
        <v>1</v>
      </c>
      <c r="G20" s="4">
        <v>7</v>
      </c>
      <c r="H20" s="5">
        <v>4</v>
      </c>
      <c r="I20" s="6" t="s">
        <v>85</v>
      </c>
      <c r="J20" s="6">
        <v>32</v>
      </c>
      <c r="K20" s="6" t="s">
        <v>83</v>
      </c>
      <c r="L20" s="6">
        <v>2.5</v>
      </c>
      <c r="M20" s="7">
        <v>42</v>
      </c>
      <c r="N20" s="6">
        <v>949.9</v>
      </c>
      <c r="O20" s="6">
        <v>15.5</v>
      </c>
      <c r="P20" s="6">
        <v>1</v>
      </c>
      <c r="Q20" s="8">
        <v>42.5</v>
      </c>
      <c r="R20" s="8">
        <v>21.35</v>
      </c>
      <c r="S20" s="9">
        <f t="shared" si="0"/>
        <v>63.85</v>
      </c>
      <c r="T20" s="9">
        <f t="shared" si="1"/>
        <v>36.975000000000001</v>
      </c>
      <c r="U20" s="9">
        <f t="shared" si="2"/>
        <v>18.5745</v>
      </c>
      <c r="V20" s="3">
        <v>5.7</v>
      </c>
      <c r="W20" s="3">
        <v>52.3</v>
      </c>
      <c r="X20" s="12" t="s">
        <v>88</v>
      </c>
    </row>
    <row r="21" spans="1:24" s="11" customFormat="1" x14ac:dyDescent="0.25">
      <c r="A21" s="11" t="s">
        <v>70</v>
      </c>
      <c r="B21" s="4" t="s">
        <v>57</v>
      </c>
      <c r="C21" s="4" t="s">
        <v>18</v>
      </c>
      <c r="D21" s="4" t="s">
        <v>19</v>
      </c>
      <c r="E21" s="4">
        <v>2019</v>
      </c>
      <c r="F21" s="4">
        <v>2</v>
      </c>
      <c r="G21" s="4">
        <v>7</v>
      </c>
      <c r="H21" s="5">
        <v>27</v>
      </c>
      <c r="I21" s="6" t="s">
        <v>85</v>
      </c>
      <c r="J21" s="6">
        <v>30</v>
      </c>
      <c r="K21" s="6" t="s">
        <v>83</v>
      </c>
      <c r="L21" s="6">
        <v>2.5</v>
      </c>
      <c r="M21" s="7">
        <v>36</v>
      </c>
      <c r="N21" s="6">
        <v>1126</v>
      </c>
      <c r="O21" s="6">
        <v>14.6</v>
      </c>
      <c r="P21" s="6">
        <v>1</v>
      </c>
      <c r="Q21" s="8">
        <v>41.27</v>
      </c>
      <c r="R21" s="8">
        <v>22.62</v>
      </c>
      <c r="S21" s="9">
        <f t="shared" si="0"/>
        <v>63.89</v>
      </c>
      <c r="T21" s="9">
        <f t="shared" si="1"/>
        <v>35.904900000000005</v>
      </c>
      <c r="U21" s="9">
        <f t="shared" si="2"/>
        <v>19.679400000000001</v>
      </c>
      <c r="V21" s="3">
        <v>5.85</v>
      </c>
      <c r="W21" s="3">
        <v>56.36</v>
      </c>
      <c r="X21" s="12" t="s">
        <v>88</v>
      </c>
    </row>
    <row r="22" spans="1:24" s="11" customFormat="1" x14ac:dyDescent="0.25">
      <c r="A22" s="11" t="s">
        <v>56</v>
      </c>
      <c r="B22" s="4" t="s">
        <v>57</v>
      </c>
      <c r="C22" s="4" t="s">
        <v>18</v>
      </c>
      <c r="D22" s="4" t="s">
        <v>19</v>
      </c>
      <c r="E22" s="4">
        <v>2019</v>
      </c>
      <c r="F22" s="4">
        <v>3</v>
      </c>
      <c r="G22" s="4">
        <v>7</v>
      </c>
      <c r="H22" s="5">
        <v>41</v>
      </c>
      <c r="I22" s="6" t="s">
        <v>85</v>
      </c>
      <c r="J22" s="7" t="s">
        <v>88</v>
      </c>
      <c r="K22" s="6" t="s">
        <v>83</v>
      </c>
      <c r="L22" s="7" t="s">
        <v>88</v>
      </c>
      <c r="M22" s="7" t="s">
        <v>88</v>
      </c>
      <c r="N22" s="6">
        <v>547.1</v>
      </c>
      <c r="O22" s="6" t="s">
        <v>88</v>
      </c>
      <c r="P22" s="12" t="s">
        <v>88</v>
      </c>
      <c r="Q22" s="8">
        <v>37.619999999999997</v>
      </c>
      <c r="R22" s="8">
        <v>23.96</v>
      </c>
      <c r="S22" s="9">
        <f t="shared" si="0"/>
        <v>61.58</v>
      </c>
      <c r="T22" s="9">
        <f t="shared" si="1"/>
        <v>32.729399999999998</v>
      </c>
      <c r="U22" s="9">
        <f t="shared" si="2"/>
        <v>20.845200000000002</v>
      </c>
      <c r="V22" s="3">
        <v>5.64</v>
      </c>
      <c r="W22" s="3">
        <v>53.71</v>
      </c>
      <c r="X22" s="12" t="s">
        <v>88</v>
      </c>
    </row>
    <row r="23" spans="1:24" s="11" customFormat="1" x14ac:dyDescent="0.25">
      <c r="A23" s="11" t="s">
        <v>58</v>
      </c>
      <c r="B23" s="4" t="s">
        <v>29</v>
      </c>
      <c r="C23" s="4" t="s">
        <v>18</v>
      </c>
      <c r="D23" s="4" t="s">
        <v>19</v>
      </c>
      <c r="E23" s="4">
        <v>2019</v>
      </c>
      <c r="F23" s="4">
        <v>1</v>
      </c>
      <c r="G23" s="4">
        <v>8</v>
      </c>
      <c r="H23" s="5">
        <v>3</v>
      </c>
      <c r="I23" s="6" t="s">
        <v>84</v>
      </c>
      <c r="J23" s="6">
        <v>31</v>
      </c>
      <c r="K23" s="6" t="s">
        <v>83</v>
      </c>
      <c r="L23" s="6">
        <v>2.5</v>
      </c>
      <c r="M23" s="7">
        <v>33</v>
      </c>
      <c r="N23" s="6">
        <v>831.8</v>
      </c>
      <c r="O23" s="6">
        <v>14.7</v>
      </c>
      <c r="P23" s="6">
        <v>1.5</v>
      </c>
      <c r="Q23" s="8">
        <v>43.31</v>
      </c>
      <c r="R23" s="8">
        <v>21.49</v>
      </c>
      <c r="S23" s="9">
        <f t="shared" si="0"/>
        <v>64.8</v>
      </c>
      <c r="T23" s="9">
        <f t="shared" si="1"/>
        <v>37.679700000000004</v>
      </c>
      <c r="U23" s="9">
        <f t="shared" si="2"/>
        <v>18.696299999999997</v>
      </c>
      <c r="V23" s="3">
        <v>3.91</v>
      </c>
      <c r="W23" s="3">
        <v>60.47</v>
      </c>
      <c r="X23" s="12" t="s">
        <v>88</v>
      </c>
    </row>
    <row r="24" spans="1:24" s="11" customFormat="1" x14ac:dyDescent="0.25">
      <c r="A24" s="11" t="s">
        <v>28</v>
      </c>
      <c r="B24" s="4" t="s">
        <v>29</v>
      </c>
      <c r="C24" s="4" t="s">
        <v>18</v>
      </c>
      <c r="D24" s="4" t="s">
        <v>19</v>
      </c>
      <c r="E24" s="4">
        <v>2019</v>
      </c>
      <c r="F24" s="4">
        <v>2</v>
      </c>
      <c r="G24" s="4">
        <v>8</v>
      </c>
      <c r="H24" s="5">
        <v>18</v>
      </c>
      <c r="I24" s="6" t="s">
        <v>84</v>
      </c>
      <c r="J24" s="6">
        <v>33</v>
      </c>
      <c r="K24" s="6" t="s">
        <v>83</v>
      </c>
      <c r="L24" s="6">
        <v>2.5</v>
      </c>
      <c r="M24" s="7">
        <v>37</v>
      </c>
      <c r="N24" s="6">
        <v>849.9</v>
      </c>
      <c r="O24" s="6">
        <v>16.399999999999999</v>
      </c>
      <c r="P24" s="6">
        <v>2</v>
      </c>
      <c r="Q24" s="8">
        <v>44.01</v>
      </c>
      <c r="R24" s="8">
        <v>21.21</v>
      </c>
      <c r="S24" s="9">
        <f t="shared" si="0"/>
        <v>65.22</v>
      </c>
      <c r="T24" s="9">
        <f t="shared" si="1"/>
        <v>38.288699999999999</v>
      </c>
      <c r="U24" s="9">
        <f t="shared" si="2"/>
        <v>18.4527</v>
      </c>
      <c r="V24" s="3">
        <v>4.1500000000000004</v>
      </c>
      <c r="W24" s="3">
        <v>68.55</v>
      </c>
      <c r="X24" s="12" t="s">
        <v>88</v>
      </c>
    </row>
    <row r="25" spans="1:24" s="11" customFormat="1" x14ac:dyDescent="0.25">
      <c r="A25" s="11" t="s">
        <v>53</v>
      </c>
      <c r="B25" s="4" t="s">
        <v>29</v>
      </c>
      <c r="C25" s="4" t="s">
        <v>18</v>
      </c>
      <c r="D25" s="4" t="s">
        <v>19</v>
      </c>
      <c r="E25" s="4">
        <v>2019</v>
      </c>
      <c r="F25" s="4">
        <v>3</v>
      </c>
      <c r="G25" s="4">
        <v>8</v>
      </c>
      <c r="H25" s="5">
        <v>40</v>
      </c>
      <c r="I25" s="6" t="s">
        <v>84</v>
      </c>
      <c r="J25" s="7" t="s">
        <v>88</v>
      </c>
      <c r="K25" s="6" t="s">
        <v>83</v>
      </c>
      <c r="L25" s="7" t="s">
        <v>88</v>
      </c>
      <c r="M25" s="7" t="s">
        <v>88</v>
      </c>
      <c r="N25" s="6">
        <v>562.20000000000005</v>
      </c>
      <c r="O25" s="6" t="s">
        <v>88</v>
      </c>
      <c r="P25" s="12" t="s">
        <v>88</v>
      </c>
      <c r="Q25" s="8">
        <v>38.46</v>
      </c>
      <c r="R25" s="8">
        <v>23.49</v>
      </c>
      <c r="S25" s="9">
        <f t="shared" si="0"/>
        <v>61.95</v>
      </c>
      <c r="T25" s="9">
        <f t="shared" si="1"/>
        <v>33.4602</v>
      </c>
      <c r="U25" s="9">
        <f t="shared" si="2"/>
        <v>20.436299999999999</v>
      </c>
      <c r="V25" s="3">
        <v>4.71</v>
      </c>
      <c r="W25" s="3">
        <v>70.39</v>
      </c>
      <c r="X25" s="12" t="s">
        <v>88</v>
      </c>
    </row>
    <row r="26" spans="1:24" s="11" customFormat="1" x14ac:dyDescent="0.25">
      <c r="A26" s="11" t="s">
        <v>64</v>
      </c>
      <c r="B26" s="4" t="s">
        <v>48</v>
      </c>
      <c r="C26" s="4" t="s">
        <v>18</v>
      </c>
      <c r="D26" s="4" t="s">
        <v>19</v>
      </c>
      <c r="E26" s="4">
        <v>2019</v>
      </c>
      <c r="F26" s="4">
        <v>1</v>
      </c>
      <c r="G26" s="4">
        <v>9</v>
      </c>
      <c r="H26" s="5">
        <v>7</v>
      </c>
      <c r="I26" s="6" t="s">
        <v>82</v>
      </c>
      <c r="J26" s="6">
        <v>26</v>
      </c>
      <c r="K26" s="6" t="s">
        <v>86</v>
      </c>
      <c r="L26" s="6">
        <v>2.5</v>
      </c>
      <c r="M26" s="7">
        <v>34</v>
      </c>
      <c r="N26" s="6">
        <v>1189.5999999999999</v>
      </c>
      <c r="O26" s="6">
        <v>20.100000000000001</v>
      </c>
      <c r="P26" s="6">
        <v>1.5</v>
      </c>
      <c r="Q26" s="8">
        <v>42.53</v>
      </c>
      <c r="R26" s="8">
        <v>23.19</v>
      </c>
      <c r="S26" s="9">
        <f t="shared" si="0"/>
        <v>65.72</v>
      </c>
      <c r="T26" s="9">
        <f t="shared" si="1"/>
        <v>37.001100000000001</v>
      </c>
      <c r="U26" s="9">
        <f t="shared" si="2"/>
        <v>20.1753</v>
      </c>
      <c r="V26" s="3">
        <v>3.33</v>
      </c>
      <c r="W26" s="3">
        <v>70.040000000000006</v>
      </c>
      <c r="X26" s="12" t="s">
        <v>88</v>
      </c>
    </row>
    <row r="27" spans="1:24" s="11" customFormat="1" x14ac:dyDescent="0.25">
      <c r="A27" s="11" t="s">
        <v>69</v>
      </c>
      <c r="B27" s="4" t="s">
        <v>48</v>
      </c>
      <c r="C27" s="4" t="s">
        <v>18</v>
      </c>
      <c r="D27" s="4" t="s">
        <v>19</v>
      </c>
      <c r="E27" s="4">
        <v>2019</v>
      </c>
      <c r="F27" s="4">
        <v>2</v>
      </c>
      <c r="G27" s="4">
        <v>9</v>
      </c>
      <c r="H27" s="5">
        <v>26</v>
      </c>
      <c r="I27" s="6" t="s">
        <v>82</v>
      </c>
      <c r="J27" s="6">
        <v>22</v>
      </c>
      <c r="K27" s="6" t="s">
        <v>86</v>
      </c>
      <c r="L27" s="6">
        <v>2</v>
      </c>
      <c r="M27" s="7">
        <v>28</v>
      </c>
      <c r="N27" s="6">
        <v>724.3</v>
      </c>
      <c r="O27" s="6">
        <v>16.3</v>
      </c>
      <c r="P27" s="6">
        <v>1.5</v>
      </c>
      <c r="Q27" s="8">
        <v>38.78</v>
      </c>
      <c r="R27" s="8">
        <v>24.15</v>
      </c>
      <c r="S27" s="9">
        <f t="shared" si="0"/>
        <v>62.93</v>
      </c>
      <c r="T27" s="9">
        <f t="shared" si="1"/>
        <v>33.738599999999998</v>
      </c>
      <c r="U27" s="9">
        <f t="shared" si="2"/>
        <v>21.0105</v>
      </c>
      <c r="V27" s="3">
        <v>4.07</v>
      </c>
      <c r="W27" s="3">
        <v>65.5</v>
      </c>
      <c r="X27" s="12" t="s">
        <v>88</v>
      </c>
    </row>
    <row r="28" spans="1:24" s="11" customFormat="1" x14ac:dyDescent="0.25">
      <c r="A28" s="11" t="s">
        <v>47</v>
      </c>
      <c r="B28" s="4" t="s">
        <v>48</v>
      </c>
      <c r="C28" s="4" t="s">
        <v>18</v>
      </c>
      <c r="D28" s="4" t="s">
        <v>19</v>
      </c>
      <c r="E28" s="4">
        <v>2019</v>
      </c>
      <c r="F28" s="4">
        <v>3</v>
      </c>
      <c r="G28" s="4">
        <v>9</v>
      </c>
      <c r="H28" s="5">
        <v>38</v>
      </c>
      <c r="I28" s="6" t="s">
        <v>82</v>
      </c>
      <c r="J28" s="7" t="s">
        <v>88</v>
      </c>
      <c r="K28" s="6" t="s">
        <v>86</v>
      </c>
      <c r="L28" s="7" t="s">
        <v>88</v>
      </c>
      <c r="M28" s="7" t="s">
        <v>88</v>
      </c>
      <c r="N28" s="6">
        <v>715</v>
      </c>
      <c r="O28" s="6" t="s">
        <v>88</v>
      </c>
      <c r="P28" s="12" t="s">
        <v>88</v>
      </c>
      <c r="Q28" s="8">
        <v>38.64</v>
      </c>
      <c r="R28" s="8">
        <v>24.09</v>
      </c>
      <c r="S28" s="9">
        <f t="shared" si="0"/>
        <v>62.730000000000004</v>
      </c>
      <c r="T28" s="9">
        <f t="shared" si="1"/>
        <v>33.616799999999998</v>
      </c>
      <c r="U28" s="9">
        <f t="shared" si="2"/>
        <v>20.958300000000001</v>
      </c>
      <c r="V28" s="3">
        <v>3.42</v>
      </c>
      <c r="W28" s="3">
        <v>62.89</v>
      </c>
      <c r="X28" s="12" t="s">
        <v>88</v>
      </c>
    </row>
    <row r="29" spans="1:24" s="11" customFormat="1" x14ac:dyDescent="0.25">
      <c r="A29" s="11" t="s">
        <v>74</v>
      </c>
      <c r="B29" s="4" t="s">
        <v>66</v>
      </c>
      <c r="C29" s="4" t="s">
        <v>18</v>
      </c>
      <c r="D29" s="4" t="s">
        <v>19</v>
      </c>
      <c r="E29" s="4">
        <v>2019</v>
      </c>
      <c r="F29" s="4">
        <v>1</v>
      </c>
      <c r="G29" s="4">
        <v>10</v>
      </c>
      <c r="H29" s="5">
        <v>6</v>
      </c>
      <c r="I29" s="6" t="s">
        <v>82</v>
      </c>
      <c r="J29" s="6">
        <v>22</v>
      </c>
      <c r="K29" s="6" t="s">
        <v>86</v>
      </c>
      <c r="L29" s="6">
        <v>2.5</v>
      </c>
      <c r="M29" s="7">
        <v>30</v>
      </c>
      <c r="N29" s="6">
        <v>624.5</v>
      </c>
      <c r="O29" s="6">
        <v>15.2</v>
      </c>
      <c r="P29" s="6">
        <v>1.5</v>
      </c>
      <c r="Q29" s="8">
        <v>39.24</v>
      </c>
      <c r="R29" s="8">
        <v>23.69</v>
      </c>
      <c r="S29" s="9">
        <f t="shared" si="0"/>
        <v>62.930000000000007</v>
      </c>
      <c r="T29" s="9">
        <f t="shared" si="1"/>
        <v>34.138800000000003</v>
      </c>
      <c r="U29" s="9">
        <f t="shared" si="2"/>
        <v>20.610300000000002</v>
      </c>
      <c r="V29" s="3">
        <v>4.59</v>
      </c>
      <c r="W29" s="3">
        <v>56.62</v>
      </c>
      <c r="X29" s="12" t="s">
        <v>88</v>
      </c>
    </row>
    <row r="30" spans="1:24" s="11" customFormat="1" x14ac:dyDescent="0.25">
      <c r="A30" s="11" t="s">
        <v>65</v>
      </c>
      <c r="B30" s="4" t="s">
        <v>66</v>
      </c>
      <c r="C30" s="4" t="s">
        <v>18</v>
      </c>
      <c r="D30" s="4" t="s">
        <v>19</v>
      </c>
      <c r="E30" s="4">
        <v>2019</v>
      </c>
      <c r="F30" s="4">
        <v>2</v>
      </c>
      <c r="G30" s="4">
        <v>10</v>
      </c>
      <c r="H30" s="5">
        <v>25</v>
      </c>
      <c r="I30" s="6" t="s">
        <v>82</v>
      </c>
      <c r="J30" s="6">
        <v>25</v>
      </c>
      <c r="K30" s="6" t="s">
        <v>86</v>
      </c>
      <c r="L30" s="6">
        <v>2</v>
      </c>
      <c r="M30" s="7">
        <v>31</v>
      </c>
      <c r="N30" s="6">
        <v>707.9</v>
      </c>
      <c r="O30" s="6">
        <v>17.899999999999999</v>
      </c>
      <c r="P30" s="6">
        <v>2</v>
      </c>
      <c r="Q30" s="8">
        <v>39.6</v>
      </c>
      <c r="R30" s="8">
        <v>23.64</v>
      </c>
      <c r="S30" s="9">
        <f t="shared" si="0"/>
        <v>63.24</v>
      </c>
      <c r="T30" s="9">
        <f t="shared" si="1"/>
        <v>34.451999999999998</v>
      </c>
      <c r="U30" s="9">
        <f t="shared" si="2"/>
        <v>20.566800000000001</v>
      </c>
      <c r="V30" s="3">
        <v>4.9000000000000004</v>
      </c>
      <c r="W30" s="3">
        <v>71.28</v>
      </c>
      <c r="X30" s="12" t="s">
        <v>88</v>
      </c>
    </row>
    <row r="31" spans="1:24" s="11" customFormat="1" x14ac:dyDescent="0.25">
      <c r="A31" s="11" t="s">
        <v>75</v>
      </c>
      <c r="B31" s="4" t="s">
        <v>66</v>
      </c>
      <c r="C31" s="4" t="s">
        <v>18</v>
      </c>
      <c r="D31" s="4" t="s">
        <v>19</v>
      </c>
      <c r="E31" s="4">
        <v>2019</v>
      </c>
      <c r="F31" s="4">
        <v>3</v>
      </c>
      <c r="G31" s="4">
        <v>10</v>
      </c>
      <c r="H31" s="5">
        <v>36</v>
      </c>
      <c r="I31" s="6" t="s">
        <v>82</v>
      </c>
      <c r="J31" s="7" t="s">
        <v>88</v>
      </c>
      <c r="K31" s="6" t="s">
        <v>86</v>
      </c>
      <c r="L31" s="7" t="s">
        <v>88</v>
      </c>
      <c r="M31" s="7" t="s">
        <v>88</v>
      </c>
      <c r="N31" s="6">
        <v>677.6</v>
      </c>
      <c r="O31" s="6" t="s">
        <v>88</v>
      </c>
      <c r="P31" s="12" t="s">
        <v>88</v>
      </c>
      <c r="Q31" s="8">
        <v>36.79</v>
      </c>
      <c r="R31" s="8">
        <v>24.97</v>
      </c>
      <c r="S31" s="9">
        <f t="shared" si="0"/>
        <v>61.76</v>
      </c>
      <c r="T31" s="9">
        <f t="shared" si="1"/>
        <v>32.007300000000001</v>
      </c>
      <c r="U31" s="9">
        <f t="shared" si="2"/>
        <v>21.7239</v>
      </c>
      <c r="V31" s="3">
        <v>4.09</v>
      </c>
      <c r="W31" s="3">
        <v>69.97</v>
      </c>
      <c r="X31" s="12" t="s">
        <v>88</v>
      </c>
    </row>
    <row r="32" spans="1:24" s="11" customFormat="1" x14ac:dyDescent="0.25">
      <c r="A32" s="11" t="s">
        <v>71</v>
      </c>
      <c r="B32" s="4" t="s">
        <v>34</v>
      </c>
      <c r="C32" s="4" t="s">
        <v>18</v>
      </c>
      <c r="D32" s="4" t="s">
        <v>19</v>
      </c>
      <c r="E32" s="4">
        <v>2019</v>
      </c>
      <c r="F32" s="4">
        <v>1</v>
      </c>
      <c r="G32" s="4">
        <v>11</v>
      </c>
      <c r="H32" s="5">
        <v>5</v>
      </c>
      <c r="I32" s="6" t="s">
        <v>82</v>
      </c>
      <c r="J32" s="6">
        <v>22</v>
      </c>
      <c r="K32" s="6" t="s">
        <v>86</v>
      </c>
      <c r="L32" s="6">
        <v>2</v>
      </c>
      <c r="M32" s="7">
        <v>30</v>
      </c>
      <c r="N32" s="6">
        <v>587</v>
      </c>
      <c r="O32" s="6">
        <v>14.9</v>
      </c>
      <c r="P32" s="6">
        <v>1.5</v>
      </c>
      <c r="Q32" s="8">
        <v>36.85</v>
      </c>
      <c r="R32" s="8">
        <v>24.91</v>
      </c>
      <c r="S32" s="9">
        <f t="shared" si="0"/>
        <v>61.760000000000005</v>
      </c>
      <c r="T32" s="9">
        <f t="shared" si="1"/>
        <v>32.0595</v>
      </c>
      <c r="U32" s="9">
        <f t="shared" si="2"/>
        <v>21.671700000000001</v>
      </c>
      <c r="V32" s="3">
        <v>5.05</v>
      </c>
      <c r="W32" s="3">
        <v>61.9</v>
      </c>
      <c r="X32" s="12" t="s">
        <v>88</v>
      </c>
    </row>
    <row r="33" spans="1:24" s="11" customFormat="1" x14ac:dyDescent="0.25">
      <c r="A33" s="11" t="s">
        <v>33</v>
      </c>
      <c r="B33" s="4" t="s">
        <v>34</v>
      </c>
      <c r="C33" s="4" t="s">
        <v>18</v>
      </c>
      <c r="D33" s="4" t="s">
        <v>19</v>
      </c>
      <c r="E33" s="4">
        <v>2019</v>
      </c>
      <c r="F33" s="4">
        <v>2</v>
      </c>
      <c r="G33" s="4">
        <v>11</v>
      </c>
      <c r="H33" s="5">
        <v>23</v>
      </c>
      <c r="I33" s="6" t="s">
        <v>82</v>
      </c>
      <c r="J33" s="6">
        <v>24</v>
      </c>
      <c r="K33" s="6" t="s">
        <v>86</v>
      </c>
      <c r="L33" s="6">
        <v>3</v>
      </c>
      <c r="M33" s="7">
        <v>29</v>
      </c>
      <c r="N33" s="6">
        <v>977.2</v>
      </c>
      <c r="O33" s="6">
        <v>19.2</v>
      </c>
      <c r="P33" s="6">
        <v>1</v>
      </c>
      <c r="Q33" s="8">
        <v>42.08</v>
      </c>
      <c r="R33" s="8">
        <v>23.55</v>
      </c>
      <c r="S33" s="9">
        <f t="shared" si="0"/>
        <v>65.63</v>
      </c>
      <c r="T33" s="9">
        <f t="shared" si="1"/>
        <v>36.6096</v>
      </c>
      <c r="U33" s="9">
        <f t="shared" si="2"/>
        <v>20.488500000000002</v>
      </c>
      <c r="V33" s="3">
        <v>3.76</v>
      </c>
      <c r="W33" s="3">
        <v>63.05</v>
      </c>
      <c r="X33" s="12" t="s">
        <v>88</v>
      </c>
    </row>
    <row r="34" spans="1:24" s="11" customFormat="1" x14ac:dyDescent="0.25">
      <c r="A34" s="11" t="s">
        <v>72</v>
      </c>
      <c r="B34" s="4" t="s">
        <v>34</v>
      </c>
      <c r="C34" s="4" t="s">
        <v>18</v>
      </c>
      <c r="D34" s="4" t="s">
        <v>19</v>
      </c>
      <c r="E34" s="4">
        <v>2019</v>
      </c>
      <c r="F34" s="4">
        <v>3</v>
      </c>
      <c r="G34" s="4">
        <v>11</v>
      </c>
      <c r="H34" s="5">
        <v>35</v>
      </c>
      <c r="I34" s="6" t="s">
        <v>82</v>
      </c>
      <c r="J34" s="7" t="s">
        <v>88</v>
      </c>
      <c r="K34" s="6" t="s">
        <v>86</v>
      </c>
      <c r="L34" s="7" t="s">
        <v>88</v>
      </c>
      <c r="M34" s="7" t="s">
        <v>88</v>
      </c>
      <c r="N34" s="6">
        <v>489.6</v>
      </c>
      <c r="O34" s="6" t="s">
        <v>88</v>
      </c>
      <c r="P34" s="12" t="s">
        <v>88</v>
      </c>
      <c r="Q34" s="8">
        <v>37.79</v>
      </c>
      <c r="R34" s="8">
        <v>25.33</v>
      </c>
      <c r="S34" s="9">
        <f t="shared" si="0"/>
        <v>63.12</v>
      </c>
      <c r="T34" s="9">
        <f t="shared" si="1"/>
        <v>32.877299999999998</v>
      </c>
      <c r="U34" s="9">
        <f t="shared" si="2"/>
        <v>22.037099999999999</v>
      </c>
      <c r="V34" s="3">
        <v>4.62</v>
      </c>
      <c r="W34" s="3">
        <v>62.6</v>
      </c>
      <c r="X34" s="12" t="s">
        <v>88</v>
      </c>
    </row>
    <row r="35" spans="1:24" s="11" customFormat="1" x14ac:dyDescent="0.25">
      <c r="A35" s="11" t="s">
        <v>46</v>
      </c>
      <c r="B35" s="4" t="s">
        <v>42</v>
      </c>
      <c r="C35" s="4" t="s">
        <v>18</v>
      </c>
      <c r="D35" s="4" t="s">
        <v>19</v>
      </c>
      <c r="E35" s="4">
        <v>2019</v>
      </c>
      <c r="F35" s="4">
        <v>1</v>
      </c>
      <c r="G35" s="4">
        <v>12</v>
      </c>
      <c r="H35" s="5">
        <v>12</v>
      </c>
      <c r="I35" s="6" t="s">
        <v>82</v>
      </c>
      <c r="J35" s="6">
        <v>22</v>
      </c>
      <c r="K35" s="6" t="s">
        <v>86</v>
      </c>
      <c r="L35" s="6">
        <v>2.5</v>
      </c>
      <c r="M35" s="7">
        <v>35</v>
      </c>
      <c r="N35" s="6">
        <v>1091.5</v>
      </c>
      <c r="O35" s="6">
        <v>17.600000000000001</v>
      </c>
      <c r="P35" s="6">
        <v>1.5</v>
      </c>
      <c r="Q35" s="8">
        <v>40.26</v>
      </c>
      <c r="R35" s="8">
        <v>24.23</v>
      </c>
      <c r="S35" s="9">
        <f t="shared" si="0"/>
        <v>64.489999999999995</v>
      </c>
      <c r="T35" s="9">
        <f t="shared" si="1"/>
        <v>35.026199999999996</v>
      </c>
      <c r="U35" s="9">
        <f t="shared" si="2"/>
        <v>21.080100000000002</v>
      </c>
      <c r="V35" s="3">
        <v>3.74</v>
      </c>
      <c r="W35" s="3">
        <v>66.3</v>
      </c>
      <c r="X35" s="12" t="s">
        <v>88</v>
      </c>
    </row>
    <row r="36" spans="1:24" s="11" customFormat="1" x14ac:dyDescent="0.25">
      <c r="A36" s="11" t="s">
        <v>41</v>
      </c>
      <c r="B36" s="4" t="s">
        <v>42</v>
      </c>
      <c r="C36" s="4" t="s">
        <v>18</v>
      </c>
      <c r="D36" s="4" t="s">
        <v>19</v>
      </c>
      <c r="E36" s="4">
        <v>2019</v>
      </c>
      <c r="F36" s="4">
        <v>2</v>
      </c>
      <c r="G36" s="4">
        <v>12</v>
      </c>
      <c r="H36" s="5">
        <v>19</v>
      </c>
      <c r="I36" s="6" t="s">
        <v>82</v>
      </c>
      <c r="J36" s="6">
        <v>20</v>
      </c>
      <c r="K36" s="6" t="s">
        <v>86</v>
      </c>
      <c r="L36" s="6">
        <v>2</v>
      </c>
      <c r="M36" s="7">
        <v>36</v>
      </c>
      <c r="N36" s="6">
        <v>1074.9000000000001</v>
      </c>
      <c r="O36" s="6">
        <v>18.399999999999999</v>
      </c>
      <c r="P36" s="6">
        <v>1.5</v>
      </c>
      <c r="Q36" s="8">
        <v>40.83</v>
      </c>
      <c r="R36" s="8">
        <v>23.79</v>
      </c>
      <c r="S36" s="9">
        <f t="shared" si="0"/>
        <v>64.62</v>
      </c>
      <c r="T36" s="9">
        <f t="shared" si="1"/>
        <v>35.522100000000002</v>
      </c>
      <c r="U36" s="9">
        <f t="shared" si="2"/>
        <v>20.697299999999998</v>
      </c>
      <c r="V36" s="3">
        <v>3.95</v>
      </c>
      <c r="W36" s="3">
        <v>67.98</v>
      </c>
      <c r="X36" s="12" t="s">
        <v>88</v>
      </c>
    </row>
    <row r="37" spans="1:24" s="11" customFormat="1" x14ac:dyDescent="0.25">
      <c r="A37" s="11" t="s">
        <v>78</v>
      </c>
      <c r="B37" s="4" t="s">
        <v>42</v>
      </c>
      <c r="C37" s="4" t="s">
        <v>18</v>
      </c>
      <c r="D37" s="4" t="s">
        <v>19</v>
      </c>
      <c r="E37" s="4">
        <v>2019</v>
      </c>
      <c r="F37" s="4">
        <v>3</v>
      </c>
      <c r="G37" s="4">
        <v>12</v>
      </c>
      <c r="H37" s="5">
        <v>45</v>
      </c>
      <c r="I37" s="6" t="s">
        <v>82</v>
      </c>
      <c r="J37" s="7" t="s">
        <v>88</v>
      </c>
      <c r="K37" s="6" t="s">
        <v>86</v>
      </c>
      <c r="L37" s="7" t="s">
        <v>88</v>
      </c>
      <c r="M37" s="7" t="s">
        <v>88</v>
      </c>
      <c r="N37" s="6">
        <v>668.7</v>
      </c>
      <c r="O37" s="6" t="s">
        <v>88</v>
      </c>
      <c r="P37" s="12" t="s">
        <v>88</v>
      </c>
      <c r="Q37" s="8">
        <v>36.97</v>
      </c>
      <c r="R37" s="8">
        <v>24.82</v>
      </c>
      <c r="S37" s="9">
        <f t="shared" si="0"/>
        <v>61.79</v>
      </c>
      <c r="T37" s="9">
        <f t="shared" si="1"/>
        <v>32.163899999999998</v>
      </c>
      <c r="U37" s="9">
        <f t="shared" si="2"/>
        <v>21.593399999999999</v>
      </c>
      <c r="V37" s="3">
        <v>4.63</v>
      </c>
      <c r="W37" s="3">
        <v>72.62</v>
      </c>
      <c r="X37" s="12" t="s">
        <v>88</v>
      </c>
    </row>
    <row r="38" spans="1:24" s="11" customFormat="1" x14ac:dyDescent="0.25">
      <c r="A38" s="11" t="s">
        <v>50</v>
      </c>
      <c r="B38" s="4" t="s">
        <v>51</v>
      </c>
      <c r="C38" s="4" t="s">
        <v>18</v>
      </c>
      <c r="D38" s="4" t="s">
        <v>19</v>
      </c>
      <c r="E38" s="4">
        <v>2019</v>
      </c>
      <c r="F38" s="4">
        <v>1</v>
      </c>
      <c r="G38" s="4">
        <v>13</v>
      </c>
      <c r="H38" s="5">
        <v>9</v>
      </c>
      <c r="I38" s="6" t="s">
        <v>82</v>
      </c>
      <c r="J38" s="6">
        <v>14</v>
      </c>
      <c r="K38" s="6" t="s">
        <v>87</v>
      </c>
      <c r="L38" s="6">
        <v>2.5</v>
      </c>
      <c r="M38" s="7">
        <v>32</v>
      </c>
      <c r="N38" s="6">
        <v>756.1</v>
      </c>
      <c r="O38" s="6">
        <v>14.2</v>
      </c>
      <c r="P38" s="6">
        <v>1</v>
      </c>
      <c r="Q38" s="8">
        <v>41.57</v>
      </c>
      <c r="R38" s="8">
        <v>22.53</v>
      </c>
      <c r="S38" s="9">
        <f t="shared" si="0"/>
        <v>64.099999999999994</v>
      </c>
      <c r="T38" s="9">
        <f t="shared" si="1"/>
        <v>36.165900000000001</v>
      </c>
      <c r="U38" s="9">
        <f t="shared" si="2"/>
        <v>19.601100000000002</v>
      </c>
      <c r="V38" s="3">
        <v>6.28</v>
      </c>
      <c r="W38" s="3">
        <v>34.29</v>
      </c>
      <c r="X38" s="12" t="s">
        <v>88</v>
      </c>
    </row>
    <row r="39" spans="1:24" s="11" customFormat="1" x14ac:dyDescent="0.25">
      <c r="A39" s="11" t="s">
        <v>76</v>
      </c>
      <c r="B39" s="4" t="s">
        <v>51</v>
      </c>
      <c r="C39" s="4" t="s">
        <v>18</v>
      </c>
      <c r="D39" s="4" t="s">
        <v>19</v>
      </c>
      <c r="E39" s="4">
        <v>2019</v>
      </c>
      <c r="F39" s="4">
        <v>2</v>
      </c>
      <c r="G39" s="4">
        <v>13</v>
      </c>
      <c r="H39" s="5">
        <v>17</v>
      </c>
      <c r="I39" s="6" t="s">
        <v>82</v>
      </c>
      <c r="J39" s="6">
        <v>12</v>
      </c>
      <c r="K39" s="6" t="s">
        <v>87</v>
      </c>
      <c r="L39" s="6">
        <v>2.5</v>
      </c>
      <c r="M39" s="7">
        <v>29</v>
      </c>
      <c r="N39" s="6">
        <v>790.5</v>
      </c>
      <c r="O39" s="6">
        <v>13.9</v>
      </c>
      <c r="P39" s="6">
        <v>1.5</v>
      </c>
      <c r="Q39" s="8">
        <v>42.35</v>
      </c>
      <c r="R39" s="8">
        <v>21.81</v>
      </c>
      <c r="S39" s="9">
        <f t="shared" si="0"/>
        <v>64.16</v>
      </c>
      <c r="T39" s="9">
        <f t="shared" si="1"/>
        <v>36.844500000000004</v>
      </c>
      <c r="U39" s="9">
        <f t="shared" si="2"/>
        <v>18.974699999999999</v>
      </c>
      <c r="V39" s="3">
        <v>5.86</v>
      </c>
      <c r="W39" s="3">
        <v>38.18</v>
      </c>
      <c r="X39" s="12" t="s">
        <v>88</v>
      </c>
    </row>
    <row r="40" spans="1:24" s="11" customFormat="1" x14ac:dyDescent="0.25">
      <c r="A40" s="11" t="s">
        <v>67</v>
      </c>
      <c r="B40" s="4" t="s">
        <v>51</v>
      </c>
      <c r="C40" s="4" t="s">
        <v>18</v>
      </c>
      <c r="D40" s="4" t="s">
        <v>19</v>
      </c>
      <c r="E40" s="4">
        <v>2019</v>
      </c>
      <c r="F40" s="4">
        <v>3</v>
      </c>
      <c r="G40" s="4">
        <v>13</v>
      </c>
      <c r="H40" s="5">
        <v>34</v>
      </c>
      <c r="I40" s="6" t="s">
        <v>82</v>
      </c>
      <c r="J40" s="7" t="s">
        <v>88</v>
      </c>
      <c r="K40" s="6" t="s">
        <v>87</v>
      </c>
      <c r="L40" s="7" t="s">
        <v>88</v>
      </c>
      <c r="M40" s="7" t="s">
        <v>88</v>
      </c>
      <c r="N40" s="6">
        <v>762.6</v>
      </c>
      <c r="O40" s="6" t="s">
        <v>88</v>
      </c>
      <c r="P40" s="12" t="s">
        <v>88</v>
      </c>
      <c r="Q40" s="8">
        <v>41.36</v>
      </c>
      <c r="R40" s="8">
        <v>22.22</v>
      </c>
      <c r="S40" s="9">
        <f t="shared" si="0"/>
        <v>63.58</v>
      </c>
      <c r="T40" s="9">
        <f t="shared" si="1"/>
        <v>35.983199999999997</v>
      </c>
      <c r="U40" s="9">
        <f t="shared" si="2"/>
        <v>19.331399999999999</v>
      </c>
      <c r="V40" s="3">
        <v>5.6</v>
      </c>
      <c r="W40" s="3">
        <v>38.22</v>
      </c>
      <c r="X40" s="12" t="s">
        <v>88</v>
      </c>
    </row>
    <row r="41" spans="1:24" s="11" customFormat="1" x14ac:dyDescent="0.25">
      <c r="A41" s="11" t="s">
        <v>80</v>
      </c>
      <c r="B41" s="4" t="s">
        <v>38</v>
      </c>
      <c r="C41" s="4" t="s">
        <v>18</v>
      </c>
      <c r="D41" s="4" t="s">
        <v>19</v>
      </c>
      <c r="E41" s="4">
        <v>2019</v>
      </c>
      <c r="F41" s="4">
        <v>1</v>
      </c>
      <c r="G41" s="4">
        <v>14</v>
      </c>
      <c r="H41" s="5">
        <v>16</v>
      </c>
      <c r="I41" s="6" t="s">
        <v>84</v>
      </c>
      <c r="J41" s="6">
        <v>31</v>
      </c>
      <c r="K41" s="6" t="s">
        <v>83</v>
      </c>
      <c r="L41" s="6">
        <v>2.5</v>
      </c>
      <c r="M41" s="7">
        <v>33</v>
      </c>
      <c r="N41" s="6">
        <v>750.8</v>
      </c>
      <c r="O41" s="6">
        <v>14.9</v>
      </c>
      <c r="P41" s="6">
        <v>2</v>
      </c>
      <c r="Q41" s="8">
        <v>43.99</v>
      </c>
      <c r="R41" s="8">
        <v>21.29</v>
      </c>
      <c r="S41" s="9">
        <f t="shared" si="0"/>
        <v>65.28</v>
      </c>
      <c r="T41" s="9">
        <f t="shared" si="1"/>
        <v>38.271300000000004</v>
      </c>
      <c r="U41" s="9">
        <f t="shared" si="2"/>
        <v>18.522299999999998</v>
      </c>
      <c r="V41" s="3">
        <v>8.82</v>
      </c>
      <c r="W41" s="3">
        <v>12.03</v>
      </c>
      <c r="X41" s="12" t="s">
        <v>88</v>
      </c>
    </row>
    <row r="42" spans="1:24" s="11" customFormat="1" x14ac:dyDescent="0.25">
      <c r="A42" s="11" t="s">
        <v>37</v>
      </c>
      <c r="B42" s="4" t="s">
        <v>38</v>
      </c>
      <c r="C42" s="4" t="s">
        <v>18</v>
      </c>
      <c r="D42" s="4" t="s">
        <v>19</v>
      </c>
      <c r="E42" s="4">
        <v>2019</v>
      </c>
      <c r="F42" s="4">
        <v>2</v>
      </c>
      <c r="G42" s="4">
        <v>14</v>
      </c>
      <c r="H42" s="5">
        <v>22</v>
      </c>
      <c r="I42" s="6" t="s">
        <v>84</v>
      </c>
      <c r="J42" s="6">
        <v>31</v>
      </c>
      <c r="K42" s="6" t="s">
        <v>83</v>
      </c>
      <c r="L42" s="6">
        <v>2.5</v>
      </c>
      <c r="M42" s="7">
        <v>41</v>
      </c>
      <c r="N42" s="6">
        <v>1263.5</v>
      </c>
      <c r="O42" s="6">
        <v>16.3</v>
      </c>
      <c r="P42" s="6">
        <v>1.5</v>
      </c>
      <c r="Q42" s="8">
        <v>44.74</v>
      </c>
      <c r="R42" s="8">
        <v>20.59</v>
      </c>
      <c r="S42" s="9">
        <f t="shared" si="0"/>
        <v>65.33</v>
      </c>
      <c r="T42" s="9">
        <f t="shared" si="1"/>
        <v>38.9238</v>
      </c>
      <c r="U42" s="9">
        <f t="shared" si="2"/>
        <v>17.9133</v>
      </c>
      <c r="V42" s="3">
        <v>9.77</v>
      </c>
      <c r="W42" s="3">
        <v>10.87</v>
      </c>
      <c r="X42" s="12" t="s">
        <v>88</v>
      </c>
    </row>
    <row r="43" spans="1:24" s="11" customFormat="1" x14ac:dyDescent="0.25">
      <c r="A43" s="11" t="s">
        <v>63</v>
      </c>
      <c r="B43" s="4" t="s">
        <v>38</v>
      </c>
      <c r="C43" s="4" t="s">
        <v>18</v>
      </c>
      <c r="D43" s="4" t="s">
        <v>19</v>
      </c>
      <c r="E43" s="4">
        <v>2019</v>
      </c>
      <c r="F43" s="4">
        <v>3</v>
      </c>
      <c r="G43" s="4">
        <v>14</v>
      </c>
      <c r="H43" s="5">
        <v>37</v>
      </c>
      <c r="I43" s="6" t="s">
        <v>84</v>
      </c>
      <c r="J43" s="7" t="s">
        <v>88</v>
      </c>
      <c r="K43" s="6" t="s">
        <v>83</v>
      </c>
      <c r="L43" s="7" t="s">
        <v>88</v>
      </c>
      <c r="M43" s="7" t="s">
        <v>88</v>
      </c>
      <c r="N43" s="6">
        <v>1280.2</v>
      </c>
      <c r="O43" s="6" t="s">
        <v>88</v>
      </c>
      <c r="P43" s="12" t="s">
        <v>88</v>
      </c>
      <c r="Q43" s="8">
        <v>43.2</v>
      </c>
      <c r="R43" s="8">
        <v>21.48</v>
      </c>
      <c r="S43" s="9">
        <f t="shared" si="0"/>
        <v>64.680000000000007</v>
      </c>
      <c r="T43" s="9">
        <f t="shared" si="1"/>
        <v>37.584000000000003</v>
      </c>
      <c r="U43" s="9">
        <f t="shared" si="2"/>
        <v>18.6876</v>
      </c>
      <c r="V43" s="3">
        <v>9.3699999999999992</v>
      </c>
      <c r="W43" s="3">
        <v>10.76</v>
      </c>
      <c r="X43" s="12" t="s">
        <v>88</v>
      </c>
    </row>
    <row r="44" spans="1:24" s="11" customFormat="1" x14ac:dyDescent="0.25">
      <c r="A44" s="11" t="s">
        <v>16</v>
      </c>
      <c r="B44" s="4" t="s">
        <v>17</v>
      </c>
      <c r="C44" s="4" t="s">
        <v>18</v>
      </c>
      <c r="D44" s="4" t="s">
        <v>19</v>
      </c>
      <c r="E44" s="4">
        <v>2019</v>
      </c>
      <c r="F44" s="4">
        <v>1</v>
      </c>
      <c r="G44" s="4">
        <v>15</v>
      </c>
      <c r="H44" s="5">
        <v>1</v>
      </c>
      <c r="I44" s="6" t="s">
        <v>82</v>
      </c>
      <c r="J44" s="6">
        <v>26</v>
      </c>
      <c r="K44" s="6" t="s">
        <v>83</v>
      </c>
      <c r="L44" s="6">
        <v>2</v>
      </c>
      <c r="M44" s="7">
        <v>24</v>
      </c>
      <c r="N44" s="6">
        <v>849.4</v>
      </c>
      <c r="O44" s="6">
        <v>17.8</v>
      </c>
      <c r="P44" s="6">
        <v>1.5</v>
      </c>
      <c r="Q44" s="8">
        <v>40.35</v>
      </c>
      <c r="R44" s="8">
        <v>23.76</v>
      </c>
      <c r="S44" s="9">
        <f t="shared" si="0"/>
        <v>64.11</v>
      </c>
      <c r="T44" s="9">
        <f t="shared" si="1"/>
        <v>35.104500000000002</v>
      </c>
      <c r="U44" s="9">
        <f t="shared" si="2"/>
        <v>20.671200000000002</v>
      </c>
      <c r="V44" s="3">
        <v>8.9600000000000009</v>
      </c>
      <c r="W44" s="3">
        <v>10.1</v>
      </c>
      <c r="X44" s="12" t="s">
        <v>88</v>
      </c>
    </row>
    <row r="45" spans="1:24" s="11" customFormat="1" x14ac:dyDescent="0.25">
      <c r="A45" s="11" t="s">
        <v>40</v>
      </c>
      <c r="B45" s="4" t="s">
        <v>17</v>
      </c>
      <c r="C45" s="4" t="s">
        <v>18</v>
      </c>
      <c r="D45" s="4" t="s">
        <v>19</v>
      </c>
      <c r="E45" s="4">
        <v>2019</v>
      </c>
      <c r="F45" s="4">
        <v>2</v>
      </c>
      <c r="G45" s="4">
        <v>15</v>
      </c>
      <c r="H45" s="5">
        <v>21</v>
      </c>
      <c r="I45" s="6" t="s">
        <v>82</v>
      </c>
      <c r="J45" s="6">
        <v>28</v>
      </c>
      <c r="K45" s="6" t="s">
        <v>83</v>
      </c>
      <c r="L45" s="6">
        <v>2.5</v>
      </c>
      <c r="M45" s="7">
        <v>29</v>
      </c>
      <c r="N45" s="6">
        <v>934</v>
      </c>
      <c r="O45" s="6">
        <v>18.7</v>
      </c>
      <c r="P45" s="6">
        <v>2</v>
      </c>
      <c r="Q45" s="8">
        <v>40.36</v>
      </c>
      <c r="R45" s="8">
        <v>23.45</v>
      </c>
      <c r="S45" s="9">
        <f t="shared" si="0"/>
        <v>63.81</v>
      </c>
      <c r="T45" s="9">
        <f t="shared" si="1"/>
        <v>35.113199999999999</v>
      </c>
      <c r="U45" s="9">
        <f t="shared" si="2"/>
        <v>20.401499999999999</v>
      </c>
      <c r="V45" s="3">
        <v>9.34</v>
      </c>
      <c r="W45" s="3">
        <v>11.52</v>
      </c>
      <c r="X45" s="12" t="s">
        <v>88</v>
      </c>
    </row>
    <row r="46" spans="1:24" s="11" customFormat="1" x14ac:dyDescent="0.25">
      <c r="A46" s="11" t="s">
        <v>55</v>
      </c>
      <c r="B46" s="4" t="s">
        <v>17</v>
      </c>
      <c r="C46" s="4" t="s">
        <v>18</v>
      </c>
      <c r="D46" s="4" t="s">
        <v>19</v>
      </c>
      <c r="E46" s="4">
        <v>2019</v>
      </c>
      <c r="F46" s="4">
        <v>3</v>
      </c>
      <c r="G46" s="4">
        <v>15</v>
      </c>
      <c r="H46" s="5">
        <v>48</v>
      </c>
      <c r="I46" s="6" t="s">
        <v>82</v>
      </c>
      <c r="J46" s="7" t="s">
        <v>88</v>
      </c>
      <c r="K46" s="6" t="s">
        <v>83</v>
      </c>
      <c r="L46" s="7" t="s">
        <v>88</v>
      </c>
      <c r="M46" s="7" t="s">
        <v>88</v>
      </c>
      <c r="N46" s="6">
        <v>655.4</v>
      </c>
      <c r="O46" s="6" t="s">
        <v>88</v>
      </c>
      <c r="P46" s="12" t="s">
        <v>88</v>
      </c>
      <c r="Q46" s="8">
        <v>38.86</v>
      </c>
      <c r="R46" s="8">
        <v>24.1</v>
      </c>
      <c r="S46" s="9">
        <f t="shared" si="0"/>
        <v>62.96</v>
      </c>
      <c r="T46" s="9">
        <f t="shared" si="1"/>
        <v>33.808199999999999</v>
      </c>
      <c r="U46" s="9">
        <f t="shared" si="2"/>
        <v>20.967000000000002</v>
      </c>
      <c r="V46" s="3">
        <v>8.58</v>
      </c>
      <c r="W46" s="3">
        <v>11.35</v>
      </c>
      <c r="X46" s="12" t="s">
        <v>88</v>
      </c>
    </row>
    <row r="47" spans="1:24" s="11" customFormat="1" x14ac:dyDescent="0.25">
      <c r="A47" s="11" t="s">
        <v>61</v>
      </c>
      <c r="B47" s="4" t="s">
        <v>21</v>
      </c>
      <c r="C47" s="4" t="s">
        <v>18</v>
      </c>
      <c r="D47" s="4" t="s">
        <v>19</v>
      </c>
      <c r="E47" s="4">
        <v>2019</v>
      </c>
      <c r="F47" s="4">
        <v>1</v>
      </c>
      <c r="G47" s="4">
        <v>16</v>
      </c>
      <c r="H47" s="5">
        <v>8</v>
      </c>
      <c r="I47" s="6" t="s">
        <v>84</v>
      </c>
      <c r="J47" s="6">
        <v>28</v>
      </c>
      <c r="K47" s="6" t="s">
        <v>83</v>
      </c>
      <c r="L47" s="6">
        <v>2</v>
      </c>
      <c r="M47" s="7">
        <v>31</v>
      </c>
      <c r="N47" s="6">
        <v>945.9</v>
      </c>
      <c r="O47" s="6">
        <v>16.2</v>
      </c>
      <c r="P47" s="6">
        <v>1</v>
      </c>
      <c r="Q47" s="8">
        <v>43.96</v>
      </c>
      <c r="R47" s="8">
        <v>20.69</v>
      </c>
      <c r="S47" s="9">
        <f t="shared" si="0"/>
        <v>64.650000000000006</v>
      </c>
      <c r="T47" s="9">
        <f t="shared" si="1"/>
        <v>38.245200000000004</v>
      </c>
      <c r="U47" s="9">
        <f t="shared" si="2"/>
        <v>18.000299999999999</v>
      </c>
      <c r="V47" s="3">
        <v>7.81</v>
      </c>
      <c r="W47" s="3">
        <v>23.39</v>
      </c>
      <c r="X47" s="12" t="s">
        <v>88</v>
      </c>
    </row>
    <row r="48" spans="1:24" s="11" customFormat="1" x14ac:dyDescent="0.25">
      <c r="A48" s="11" t="s">
        <v>32</v>
      </c>
      <c r="B48" s="4" t="s">
        <v>21</v>
      </c>
      <c r="C48" s="4" t="s">
        <v>18</v>
      </c>
      <c r="D48" s="4" t="s">
        <v>19</v>
      </c>
      <c r="E48" s="4">
        <v>2019</v>
      </c>
      <c r="F48" s="4">
        <v>2</v>
      </c>
      <c r="G48" s="4">
        <v>16</v>
      </c>
      <c r="H48" s="5">
        <v>29</v>
      </c>
      <c r="I48" s="6" t="s">
        <v>84</v>
      </c>
      <c r="J48" s="6">
        <v>31</v>
      </c>
      <c r="K48" s="6" t="s">
        <v>83</v>
      </c>
      <c r="L48" s="6">
        <v>2</v>
      </c>
      <c r="M48" s="7">
        <v>32</v>
      </c>
      <c r="N48" s="6">
        <v>939.6</v>
      </c>
      <c r="O48" s="6">
        <v>16.100000000000001</v>
      </c>
      <c r="P48" s="6">
        <v>1.5</v>
      </c>
      <c r="Q48" s="8">
        <v>44.58</v>
      </c>
      <c r="R48" s="8">
        <v>20.86</v>
      </c>
      <c r="S48" s="9">
        <f t="shared" si="0"/>
        <v>65.44</v>
      </c>
      <c r="T48" s="9">
        <f t="shared" si="1"/>
        <v>38.784599999999998</v>
      </c>
      <c r="U48" s="9">
        <f t="shared" si="2"/>
        <v>18.148199999999999</v>
      </c>
      <c r="V48" s="3">
        <v>7.89</v>
      </c>
      <c r="W48" s="3">
        <v>24.56</v>
      </c>
      <c r="X48" s="12" t="s">
        <v>88</v>
      </c>
    </row>
    <row r="49" spans="1:24" s="11" customFormat="1" x14ac:dyDescent="0.25">
      <c r="A49" s="11" t="s">
        <v>20</v>
      </c>
      <c r="B49" s="4" t="s">
        <v>21</v>
      </c>
      <c r="C49" s="4" t="s">
        <v>18</v>
      </c>
      <c r="D49" s="4" t="s">
        <v>19</v>
      </c>
      <c r="E49" s="4">
        <v>2019</v>
      </c>
      <c r="F49" s="4">
        <v>3</v>
      </c>
      <c r="G49" s="4">
        <v>16</v>
      </c>
      <c r="H49" s="5">
        <v>39</v>
      </c>
      <c r="I49" s="6" t="s">
        <v>84</v>
      </c>
      <c r="J49" s="7" t="s">
        <v>88</v>
      </c>
      <c r="K49" s="6" t="s">
        <v>83</v>
      </c>
      <c r="L49" s="7" t="s">
        <v>88</v>
      </c>
      <c r="M49" s="7" t="s">
        <v>88</v>
      </c>
      <c r="N49" s="6">
        <v>1034.8</v>
      </c>
      <c r="O49" s="6" t="s">
        <v>88</v>
      </c>
      <c r="P49" s="12" t="s">
        <v>88</v>
      </c>
      <c r="Q49" s="8">
        <v>42.24</v>
      </c>
      <c r="R49" s="8">
        <v>21.48</v>
      </c>
      <c r="S49" s="9">
        <f t="shared" si="0"/>
        <v>63.72</v>
      </c>
      <c r="T49" s="9">
        <f t="shared" si="1"/>
        <v>36.748800000000003</v>
      </c>
      <c r="U49" s="9">
        <f t="shared" si="2"/>
        <v>18.6876</v>
      </c>
      <c r="V49" s="3">
        <v>8.32</v>
      </c>
      <c r="W49" s="3">
        <v>25.96</v>
      </c>
      <c r="X49" s="12" t="s">
        <v>88</v>
      </c>
    </row>
  </sheetData>
  <conditionalFormatting sqref="N2:P49 S2:U49 X2:X49 B2:B49 C2:L33 C34:I34 C35:K49">
    <cfRule type="expression" dxfId="5" priority="3">
      <formula>MOD(ROW(),2)</formula>
    </cfRule>
  </conditionalFormatting>
  <conditionalFormatting sqref="J34:M34 L35:M49">
    <cfRule type="expression" dxfId="4" priority="2">
      <formula>MOD(ROW(),2)</formula>
    </cfRule>
  </conditionalFormatting>
  <conditionalFormatting sqref="M2:M33">
    <cfRule type="expression" dxfId="3" priority="1">
      <formula>MOD(ROW(),2)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cmdRun">
          <controlPr defaultSize="0" print="0" autoLine="0" r:id="rId5">
            <anchor moveWithCells="1">
              <from>
                <xdr:col>24</xdr:col>
                <xdr:colOff>0</xdr:colOff>
                <xdr:row>1</xdr:row>
                <xdr:rowOff>9525</xdr:rowOff>
              </from>
              <to>
                <xdr:col>26</xdr:col>
                <xdr:colOff>342900</xdr:colOff>
                <xdr:row>3</xdr:row>
                <xdr:rowOff>95250</xdr:rowOff>
              </to>
            </anchor>
          </controlPr>
        </control>
      </mc:Choice>
      <mc:Fallback>
        <control shapeId="2049" r:id="rId4" name="cmd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F931C-0D49-4F2E-AC00-4CA1CA685597}">
  <sheetPr codeName="Sheet2"/>
  <dimension ref="A1:Y151"/>
  <sheetViews>
    <sheetView tabSelected="1" workbookViewId="0"/>
  </sheetViews>
  <sheetFormatPr defaultRowHeight="15" x14ac:dyDescent="0.25"/>
  <cols>
    <col min="1" max="1" width="12" style="1" customWidth="1"/>
    <col min="2" max="3" width="9.33203125" style="1"/>
    <col min="4" max="4" width="14.83203125" style="1" customWidth="1"/>
    <col min="5" max="6" width="9.33203125" style="1"/>
    <col min="7" max="12" width="9.33203125" style="1" customWidth="1"/>
    <col min="13" max="13" width="6.83203125" style="1" customWidth="1"/>
    <col min="14" max="14" width="12" style="8" bestFit="1" customWidth="1"/>
    <col min="15" max="15" width="11.33203125" style="8" bestFit="1" customWidth="1"/>
    <col min="16" max="16" width="11.33203125" style="8" customWidth="1"/>
    <col min="17" max="17" width="10" style="8" bestFit="1" customWidth="1"/>
    <col min="18" max="18" width="6.83203125" style="8" customWidth="1"/>
    <col min="19" max="19" width="11.33203125" style="8" customWidth="1"/>
    <col min="20" max="20" width="6.83203125" style="8" customWidth="1"/>
    <col min="21" max="21" width="7.1640625" style="8" customWidth="1"/>
    <col min="22" max="22" width="8.1640625" style="8" bestFit="1" customWidth="1"/>
    <col min="23" max="24" width="9.33203125" style="1" customWidth="1"/>
    <col min="25" max="25" width="7.6640625" style="1" customWidth="1"/>
    <col min="26" max="16384" width="9.33203125" style="1"/>
  </cols>
  <sheetData>
    <row r="1" spans="1:25" x14ac:dyDescent="0.25">
      <c r="A1" s="2" t="s">
        <v>2</v>
      </c>
      <c r="B1" s="2" t="s">
        <v>3</v>
      </c>
      <c r="C1" s="2" t="s">
        <v>1</v>
      </c>
      <c r="D1" s="2" t="s">
        <v>0</v>
      </c>
      <c r="E1" s="2" t="s">
        <v>5</v>
      </c>
      <c r="F1" s="2" t="s">
        <v>4</v>
      </c>
      <c r="G1" s="2" t="s">
        <v>6</v>
      </c>
      <c r="H1" s="2" t="s">
        <v>8</v>
      </c>
      <c r="I1" s="2" t="s">
        <v>10</v>
      </c>
      <c r="J1" s="2" t="s">
        <v>11</v>
      </c>
      <c r="K1" s="2" t="s">
        <v>12</v>
      </c>
      <c r="L1" s="1" t="s">
        <v>13</v>
      </c>
      <c r="M1" s="2" t="s">
        <v>89</v>
      </c>
      <c r="N1" s="3" t="s">
        <v>93</v>
      </c>
      <c r="O1" s="3" t="s">
        <v>94</v>
      </c>
      <c r="P1" s="3" t="s">
        <v>97</v>
      </c>
      <c r="Q1" s="8" t="s">
        <v>95</v>
      </c>
      <c r="R1" s="8" t="s">
        <v>96</v>
      </c>
      <c r="S1" s="3"/>
      <c r="T1" s="8" t="s">
        <v>90</v>
      </c>
      <c r="U1" s="8" t="s">
        <v>91</v>
      </c>
      <c r="V1" s="3" t="s">
        <v>92</v>
      </c>
      <c r="W1" s="2" t="s">
        <v>7</v>
      </c>
      <c r="X1" s="2" t="s">
        <v>9</v>
      </c>
      <c r="Y1" s="2" t="s">
        <v>14</v>
      </c>
    </row>
    <row r="2" spans="1:25" s="11" customFormat="1" x14ac:dyDescent="0.25">
      <c r="A2" s="4" t="s">
        <v>19</v>
      </c>
      <c r="B2" s="4">
        <v>2019</v>
      </c>
      <c r="C2" s="4" t="s">
        <v>18</v>
      </c>
      <c r="D2" s="4" t="s">
        <v>36</v>
      </c>
      <c r="E2" s="4">
        <v>1</v>
      </c>
      <c r="F2" s="4">
        <v>1</v>
      </c>
      <c r="G2" s="5">
        <v>15</v>
      </c>
      <c r="H2" s="6">
        <v>18</v>
      </c>
      <c r="I2" s="6">
        <v>2</v>
      </c>
      <c r="J2" s="7">
        <v>29</v>
      </c>
      <c r="K2" s="6">
        <v>424.5</v>
      </c>
      <c r="L2" s="6">
        <v>14.4</v>
      </c>
      <c r="M2" s="6">
        <v>2</v>
      </c>
      <c r="N2" s="9">
        <v>37.105499999999999</v>
      </c>
      <c r="O2" s="9">
        <v>16.704000000000001</v>
      </c>
      <c r="P2" s="9">
        <f>N2+O2</f>
        <v>53.8095</v>
      </c>
      <c r="Q2" s="3">
        <v>4.2300000000000004</v>
      </c>
      <c r="R2" s="3">
        <v>72.89</v>
      </c>
      <c r="S2" s="9"/>
      <c r="T2" s="8">
        <v>42.65</v>
      </c>
      <c r="U2" s="8">
        <v>19.2</v>
      </c>
      <c r="V2" s="9">
        <v>61.849999999999994</v>
      </c>
      <c r="W2" s="6" t="s">
        <v>84</v>
      </c>
      <c r="X2" s="6" t="s">
        <v>83</v>
      </c>
      <c r="Y2" s="12" t="s">
        <v>88</v>
      </c>
    </row>
    <row r="3" spans="1:25" s="11" customFormat="1" x14ac:dyDescent="0.25">
      <c r="A3" s="4" t="s">
        <v>19</v>
      </c>
      <c r="B3" s="4">
        <v>2019</v>
      </c>
      <c r="C3" s="4" t="s">
        <v>18</v>
      </c>
      <c r="D3" s="4" t="s">
        <v>36</v>
      </c>
      <c r="E3" s="4">
        <v>1</v>
      </c>
      <c r="F3" s="4">
        <v>2</v>
      </c>
      <c r="G3" s="5">
        <v>20</v>
      </c>
      <c r="H3" s="6">
        <v>13</v>
      </c>
      <c r="I3" s="6">
        <v>2</v>
      </c>
      <c r="J3" s="7">
        <v>34</v>
      </c>
      <c r="K3" s="6">
        <v>728.9</v>
      </c>
      <c r="L3" s="6">
        <v>12.6</v>
      </c>
      <c r="M3" s="6">
        <v>1.5</v>
      </c>
      <c r="N3" s="9">
        <v>36.3399</v>
      </c>
      <c r="O3" s="9">
        <v>17.782800000000002</v>
      </c>
      <c r="P3" s="9">
        <f t="shared" ref="P3:P66" si="0">N3+O3</f>
        <v>54.122700000000002</v>
      </c>
      <c r="Q3" s="3">
        <v>3.56</v>
      </c>
      <c r="R3" s="3">
        <v>71.33</v>
      </c>
      <c r="S3" s="9"/>
      <c r="T3" s="8">
        <v>41.77</v>
      </c>
      <c r="U3" s="8">
        <v>20.440000000000001</v>
      </c>
      <c r="V3" s="9">
        <v>62.210000000000008</v>
      </c>
      <c r="W3" s="6" t="s">
        <v>84</v>
      </c>
      <c r="X3" s="6" t="s">
        <v>83</v>
      </c>
      <c r="Y3" s="12" t="s">
        <v>88</v>
      </c>
    </row>
    <row r="4" spans="1:25" s="11" customFormat="1" x14ac:dyDescent="0.25">
      <c r="A4" s="4" t="s">
        <v>19</v>
      </c>
      <c r="B4" s="4">
        <v>2019</v>
      </c>
      <c r="C4" s="4" t="s">
        <v>18</v>
      </c>
      <c r="D4" s="4" t="s">
        <v>36</v>
      </c>
      <c r="E4" s="4">
        <v>1</v>
      </c>
      <c r="F4" s="4">
        <v>3</v>
      </c>
      <c r="G4" s="5">
        <v>47</v>
      </c>
      <c r="H4" s="7" t="s">
        <v>88</v>
      </c>
      <c r="I4" s="7" t="s">
        <v>88</v>
      </c>
      <c r="J4" s="7" t="s">
        <v>88</v>
      </c>
      <c r="K4" s="6">
        <v>739.5</v>
      </c>
      <c r="L4" s="6" t="s">
        <v>88</v>
      </c>
      <c r="M4" s="12" t="s">
        <v>88</v>
      </c>
      <c r="N4" s="9">
        <v>36.322499999999998</v>
      </c>
      <c r="O4" s="9">
        <v>17.9133</v>
      </c>
      <c r="P4" s="9">
        <f t="shared" si="0"/>
        <v>54.235799999999998</v>
      </c>
      <c r="Q4" s="3">
        <v>3.57</v>
      </c>
      <c r="R4" s="3">
        <v>71.489999999999995</v>
      </c>
      <c r="S4" s="9"/>
      <c r="T4" s="8">
        <v>41.75</v>
      </c>
      <c r="U4" s="8">
        <v>20.59</v>
      </c>
      <c r="V4" s="9">
        <v>62.34</v>
      </c>
      <c r="W4" s="6" t="s">
        <v>84</v>
      </c>
      <c r="X4" s="6" t="s">
        <v>83</v>
      </c>
      <c r="Y4" s="12" t="s">
        <v>88</v>
      </c>
    </row>
    <row r="5" spans="1:25" s="11" customFormat="1" x14ac:dyDescent="0.25">
      <c r="A5" s="4" t="s">
        <v>19</v>
      </c>
      <c r="B5" s="4">
        <v>2019</v>
      </c>
      <c r="C5" s="4" t="s">
        <v>18</v>
      </c>
      <c r="D5" s="4" t="s">
        <v>44</v>
      </c>
      <c r="E5" s="4">
        <v>2</v>
      </c>
      <c r="F5" s="4">
        <v>1</v>
      </c>
      <c r="G5" s="5">
        <v>2</v>
      </c>
      <c r="H5" s="6">
        <v>25</v>
      </c>
      <c r="I5" s="6">
        <v>2.5</v>
      </c>
      <c r="J5" s="7">
        <v>31</v>
      </c>
      <c r="K5" s="6">
        <v>498.9</v>
      </c>
      <c r="L5" s="6">
        <v>15.4</v>
      </c>
      <c r="M5" s="6">
        <v>1.5</v>
      </c>
      <c r="N5" s="9">
        <v>37.923300000000005</v>
      </c>
      <c r="O5" s="9">
        <v>17.208600000000001</v>
      </c>
      <c r="P5" s="9">
        <f t="shared" si="0"/>
        <v>55.131900000000002</v>
      </c>
      <c r="Q5" s="3">
        <v>4.1500000000000004</v>
      </c>
      <c r="R5" s="3">
        <v>64.400000000000006</v>
      </c>
      <c r="S5" s="9"/>
      <c r="T5" s="8">
        <v>43.59</v>
      </c>
      <c r="U5" s="8">
        <v>19.78</v>
      </c>
      <c r="V5" s="9">
        <v>63.370000000000005</v>
      </c>
      <c r="W5" s="6" t="s">
        <v>84</v>
      </c>
      <c r="X5" s="6" t="s">
        <v>83</v>
      </c>
      <c r="Y5" s="12" t="s">
        <v>88</v>
      </c>
    </row>
    <row r="6" spans="1:25" s="11" customFormat="1" x14ac:dyDescent="0.25">
      <c r="A6" s="4" t="s">
        <v>19</v>
      </c>
      <c r="B6" s="4">
        <v>2019</v>
      </c>
      <c r="C6" s="4" t="s">
        <v>18</v>
      </c>
      <c r="D6" s="4" t="s">
        <v>44</v>
      </c>
      <c r="E6" s="4">
        <v>2</v>
      </c>
      <c r="F6" s="4">
        <v>2</v>
      </c>
      <c r="G6" s="5">
        <v>24</v>
      </c>
      <c r="H6" s="6">
        <v>22</v>
      </c>
      <c r="I6" s="6">
        <v>2.5</v>
      </c>
      <c r="J6" s="7">
        <v>27</v>
      </c>
      <c r="K6" s="6">
        <v>903.6</v>
      </c>
      <c r="L6" s="6">
        <v>13.1</v>
      </c>
      <c r="M6" s="6">
        <v>1.5</v>
      </c>
      <c r="N6" s="9">
        <v>35.904900000000005</v>
      </c>
      <c r="O6" s="9">
        <v>18.287399999999998</v>
      </c>
      <c r="P6" s="9">
        <f t="shared" si="0"/>
        <v>54.192300000000003</v>
      </c>
      <c r="Q6" s="3">
        <v>4.3600000000000003</v>
      </c>
      <c r="R6" s="3">
        <v>56.36</v>
      </c>
      <c r="S6" s="9"/>
      <c r="T6" s="8">
        <v>41.27</v>
      </c>
      <c r="U6" s="8">
        <v>21.02</v>
      </c>
      <c r="V6" s="9">
        <v>62.290000000000006</v>
      </c>
      <c r="W6" s="6" t="s">
        <v>84</v>
      </c>
      <c r="X6" s="6" t="s">
        <v>83</v>
      </c>
      <c r="Y6" s="12" t="s">
        <v>88</v>
      </c>
    </row>
    <row r="7" spans="1:25" s="11" customFormat="1" x14ac:dyDescent="0.25">
      <c r="A7" s="4" t="s">
        <v>19</v>
      </c>
      <c r="B7" s="4">
        <v>2019</v>
      </c>
      <c r="C7" s="4" t="s">
        <v>18</v>
      </c>
      <c r="D7" s="4" t="s">
        <v>44</v>
      </c>
      <c r="E7" s="4">
        <v>2</v>
      </c>
      <c r="F7" s="4">
        <v>3</v>
      </c>
      <c r="G7" s="5">
        <v>33</v>
      </c>
      <c r="H7" s="7" t="s">
        <v>88</v>
      </c>
      <c r="I7" s="7" t="s">
        <v>88</v>
      </c>
      <c r="J7" s="7" t="s">
        <v>88</v>
      </c>
      <c r="K7" s="6">
        <v>510</v>
      </c>
      <c r="L7" s="6" t="s">
        <v>88</v>
      </c>
      <c r="M7" s="12" t="s">
        <v>88</v>
      </c>
      <c r="N7" s="9">
        <v>36.131100000000004</v>
      </c>
      <c r="O7" s="9">
        <v>18.000299999999999</v>
      </c>
      <c r="P7" s="9">
        <f t="shared" si="0"/>
        <v>54.131399999999999</v>
      </c>
      <c r="Q7" s="3">
        <v>3.2</v>
      </c>
      <c r="R7" s="3">
        <v>67.16</v>
      </c>
      <c r="S7" s="9"/>
      <c r="T7" s="8">
        <v>41.53</v>
      </c>
      <c r="U7" s="8">
        <v>20.69</v>
      </c>
      <c r="V7" s="9">
        <v>62.22</v>
      </c>
      <c r="W7" s="6" t="s">
        <v>84</v>
      </c>
      <c r="X7" s="6" t="s">
        <v>83</v>
      </c>
      <c r="Y7" s="12" t="s">
        <v>88</v>
      </c>
    </row>
    <row r="8" spans="1:25" s="11" customFormat="1" x14ac:dyDescent="0.25">
      <c r="A8" s="4" t="s">
        <v>19</v>
      </c>
      <c r="B8" s="4">
        <v>2019</v>
      </c>
      <c r="C8" s="4" t="s">
        <v>18</v>
      </c>
      <c r="D8" s="4" t="s">
        <v>23</v>
      </c>
      <c r="E8" s="4">
        <v>3</v>
      </c>
      <c r="F8" s="4">
        <v>1</v>
      </c>
      <c r="G8" s="5">
        <v>13</v>
      </c>
      <c r="H8" s="10">
        <v>16</v>
      </c>
      <c r="I8" s="6">
        <v>2.5</v>
      </c>
      <c r="J8" s="7">
        <v>32</v>
      </c>
      <c r="K8" s="6">
        <v>744.7</v>
      </c>
      <c r="L8" s="6">
        <v>14.8</v>
      </c>
      <c r="M8" s="6">
        <v>1.5</v>
      </c>
      <c r="N8" s="9">
        <v>38.462699999999998</v>
      </c>
      <c r="O8" s="9">
        <v>18.4788</v>
      </c>
      <c r="P8" s="9">
        <f t="shared" si="0"/>
        <v>56.941499999999998</v>
      </c>
      <c r="Q8" s="3">
        <v>2.91</v>
      </c>
      <c r="R8" s="3">
        <v>63.25</v>
      </c>
      <c r="S8" s="9"/>
      <c r="T8" s="8">
        <v>44.21</v>
      </c>
      <c r="U8" s="8">
        <v>21.24</v>
      </c>
      <c r="V8" s="9">
        <v>65.45</v>
      </c>
      <c r="W8" s="6" t="s">
        <v>85</v>
      </c>
      <c r="X8" s="6" t="s">
        <v>83</v>
      </c>
      <c r="Y8" s="12" t="s">
        <v>88</v>
      </c>
    </row>
    <row r="9" spans="1:25" s="11" customFormat="1" x14ac:dyDescent="0.25">
      <c r="A9" s="4" t="s">
        <v>19</v>
      </c>
      <c r="B9" s="4">
        <v>2019</v>
      </c>
      <c r="C9" s="4" t="s">
        <v>18</v>
      </c>
      <c r="D9" s="4" t="s">
        <v>23</v>
      </c>
      <c r="E9" s="4">
        <v>3</v>
      </c>
      <c r="F9" s="4">
        <v>2</v>
      </c>
      <c r="G9" s="5">
        <v>28</v>
      </c>
      <c r="H9" s="5">
        <v>14</v>
      </c>
      <c r="I9" s="6">
        <v>2.5</v>
      </c>
      <c r="J9" s="7">
        <v>27</v>
      </c>
      <c r="K9" s="6">
        <v>797.1</v>
      </c>
      <c r="L9" s="6">
        <v>12.5</v>
      </c>
      <c r="M9" s="6">
        <v>1</v>
      </c>
      <c r="N9" s="9">
        <v>35.269799999999996</v>
      </c>
      <c r="O9" s="9">
        <v>19.949100000000001</v>
      </c>
      <c r="P9" s="9">
        <f t="shared" si="0"/>
        <v>55.218899999999998</v>
      </c>
      <c r="Q9" s="3">
        <v>4.08</v>
      </c>
      <c r="R9" s="3">
        <v>68.3</v>
      </c>
      <c r="S9" s="9"/>
      <c r="T9" s="8">
        <v>40.54</v>
      </c>
      <c r="U9" s="8">
        <v>22.93</v>
      </c>
      <c r="V9" s="9">
        <v>63.47</v>
      </c>
      <c r="W9" s="6" t="s">
        <v>85</v>
      </c>
      <c r="X9" s="6" t="s">
        <v>83</v>
      </c>
      <c r="Y9" s="12" t="s">
        <v>88</v>
      </c>
    </row>
    <row r="10" spans="1:25" s="11" customFormat="1" x14ac:dyDescent="0.25">
      <c r="A10" s="4" t="s">
        <v>19</v>
      </c>
      <c r="B10" s="4">
        <v>2019</v>
      </c>
      <c r="C10" s="4" t="s">
        <v>18</v>
      </c>
      <c r="D10" s="4" t="s">
        <v>23</v>
      </c>
      <c r="E10" s="4">
        <v>3</v>
      </c>
      <c r="F10" s="4">
        <v>3</v>
      </c>
      <c r="G10" s="5">
        <v>46</v>
      </c>
      <c r="H10" s="7" t="s">
        <v>88</v>
      </c>
      <c r="I10" s="7" t="s">
        <v>88</v>
      </c>
      <c r="J10" s="7" t="s">
        <v>88</v>
      </c>
      <c r="K10" s="6">
        <v>441.2</v>
      </c>
      <c r="L10" s="6" t="s">
        <v>88</v>
      </c>
      <c r="M10" s="12" t="s">
        <v>88</v>
      </c>
      <c r="N10" s="9">
        <v>35.278499999999994</v>
      </c>
      <c r="O10" s="9">
        <v>19.444500000000001</v>
      </c>
      <c r="P10" s="9">
        <f t="shared" si="0"/>
        <v>54.722999999999999</v>
      </c>
      <c r="Q10" s="3">
        <v>2.71</v>
      </c>
      <c r="R10" s="3">
        <v>61.05</v>
      </c>
      <c r="S10" s="9"/>
      <c r="T10" s="8">
        <v>40.549999999999997</v>
      </c>
      <c r="U10" s="8">
        <v>22.35</v>
      </c>
      <c r="V10" s="9">
        <v>62.9</v>
      </c>
      <c r="W10" s="6" t="s">
        <v>85</v>
      </c>
      <c r="X10" s="6" t="s">
        <v>83</v>
      </c>
      <c r="Y10" s="12" t="s">
        <v>88</v>
      </c>
    </row>
    <row r="11" spans="1:25" s="11" customFormat="1" x14ac:dyDescent="0.25">
      <c r="A11" s="4" t="s">
        <v>19</v>
      </c>
      <c r="B11" s="4">
        <v>2019</v>
      </c>
      <c r="C11" s="4" t="s">
        <v>18</v>
      </c>
      <c r="D11" s="4" t="s">
        <v>27</v>
      </c>
      <c r="E11" s="4">
        <v>4</v>
      </c>
      <c r="F11" s="4">
        <v>1</v>
      </c>
      <c r="G11" s="5">
        <v>14</v>
      </c>
      <c r="H11" s="6">
        <v>30</v>
      </c>
      <c r="I11" s="6">
        <v>2.5</v>
      </c>
      <c r="J11" s="7">
        <v>29</v>
      </c>
      <c r="K11" s="6">
        <v>1272.5999999999999</v>
      </c>
      <c r="L11" s="6">
        <v>14.8</v>
      </c>
      <c r="M11" s="6">
        <v>1.5</v>
      </c>
      <c r="N11" s="9">
        <v>37.7928</v>
      </c>
      <c r="O11" s="9">
        <v>18.7746</v>
      </c>
      <c r="P11" s="9">
        <f t="shared" si="0"/>
        <v>56.567399999999999</v>
      </c>
      <c r="Q11" s="3">
        <v>3.43</v>
      </c>
      <c r="R11" s="3">
        <v>73.3</v>
      </c>
      <c r="S11" s="9"/>
      <c r="T11" s="8">
        <v>43.44</v>
      </c>
      <c r="U11" s="8">
        <v>21.58</v>
      </c>
      <c r="V11" s="9">
        <v>65.02</v>
      </c>
      <c r="W11" s="6" t="s">
        <v>84</v>
      </c>
      <c r="X11" s="6" t="s">
        <v>83</v>
      </c>
      <c r="Y11" s="12" t="s">
        <v>88</v>
      </c>
    </row>
    <row r="12" spans="1:25" s="11" customFormat="1" x14ac:dyDescent="0.25">
      <c r="A12" s="4" t="s">
        <v>19</v>
      </c>
      <c r="B12" s="4">
        <v>2019</v>
      </c>
      <c r="C12" s="4" t="s">
        <v>18</v>
      </c>
      <c r="D12" s="4" t="s">
        <v>27</v>
      </c>
      <c r="E12" s="4">
        <v>4</v>
      </c>
      <c r="F12" s="4">
        <v>2</v>
      </c>
      <c r="G12" s="5">
        <v>32</v>
      </c>
      <c r="H12" s="6">
        <v>27</v>
      </c>
      <c r="I12" s="6">
        <v>2.5</v>
      </c>
      <c r="J12" s="7">
        <v>33</v>
      </c>
      <c r="K12" s="6">
        <v>1177.5999999999999</v>
      </c>
      <c r="L12" s="6">
        <v>14.7</v>
      </c>
      <c r="M12" s="6">
        <v>1</v>
      </c>
      <c r="N12" s="9">
        <v>37.096800000000002</v>
      </c>
      <c r="O12" s="9">
        <v>19.235699999999998</v>
      </c>
      <c r="P12" s="9">
        <f t="shared" si="0"/>
        <v>56.332499999999996</v>
      </c>
      <c r="Q12" s="3">
        <v>3.71</v>
      </c>
      <c r="R12" s="3">
        <v>76.61</v>
      </c>
      <c r="S12" s="9"/>
      <c r="T12" s="8">
        <v>42.64</v>
      </c>
      <c r="U12" s="8">
        <v>22.11</v>
      </c>
      <c r="V12" s="9">
        <v>64.75</v>
      </c>
      <c r="W12" s="6" t="s">
        <v>84</v>
      </c>
      <c r="X12" s="6" t="s">
        <v>83</v>
      </c>
      <c r="Y12" s="12" t="s">
        <v>88</v>
      </c>
    </row>
    <row r="13" spans="1:25" s="11" customFormat="1" x14ac:dyDescent="0.25">
      <c r="A13" s="4" t="s">
        <v>19</v>
      </c>
      <c r="B13" s="4">
        <v>2019</v>
      </c>
      <c r="C13" s="4" t="s">
        <v>18</v>
      </c>
      <c r="D13" s="4" t="s">
        <v>27</v>
      </c>
      <c r="E13" s="4">
        <v>4</v>
      </c>
      <c r="F13" s="4">
        <v>3</v>
      </c>
      <c r="G13" s="5">
        <v>42</v>
      </c>
      <c r="H13" s="7" t="s">
        <v>88</v>
      </c>
      <c r="I13" s="7" t="s">
        <v>88</v>
      </c>
      <c r="J13" s="7" t="s">
        <v>88</v>
      </c>
      <c r="K13" s="6">
        <v>866.2</v>
      </c>
      <c r="L13" s="6" t="s">
        <v>88</v>
      </c>
      <c r="M13" s="12" t="s">
        <v>88</v>
      </c>
      <c r="N13" s="9">
        <v>36.035400000000003</v>
      </c>
      <c r="O13" s="9">
        <v>19.809899999999999</v>
      </c>
      <c r="P13" s="9">
        <f t="shared" si="0"/>
        <v>55.845300000000002</v>
      </c>
      <c r="Q13" s="3">
        <v>4.78</v>
      </c>
      <c r="R13" s="3">
        <v>75.819999999999993</v>
      </c>
      <c r="S13" s="9"/>
      <c r="T13" s="8">
        <v>41.42</v>
      </c>
      <c r="U13" s="8">
        <v>22.77</v>
      </c>
      <c r="V13" s="9">
        <v>64.19</v>
      </c>
      <c r="W13" s="6" t="s">
        <v>84</v>
      </c>
      <c r="X13" s="6" t="s">
        <v>83</v>
      </c>
      <c r="Y13" s="12" t="s">
        <v>88</v>
      </c>
    </row>
    <row r="14" spans="1:25" s="11" customFormat="1" x14ac:dyDescent="0.25">
      <c r="A14" s="4" t="s">
        <v>19</v>
      </c>
      <c r="B14" s="4">
        <v>2019</v>
      </c>
      <c r="C14" s="4" t="s">
        <v>18</v>
      </c>
      <c r="D14" s="4" t="s">
        <v>31</v>
      </c>
      <c r="E14" s="4">
        <v>5</v>
      </c>
      <c r="F14" s="4">
        <v>1</v>
      </c>
      <c r="G14" s="5">
        <v>11</v>
      </c>
      <c r="H14" s="6">
        <v>28</v>
      </c>
      <c r="I14" s="6">
        <v>2.5</v>
      </c>
      <c r="J14" s="7">
        <v>36</v>
      </c>
      <c r="K14" s="6">
        <v>963.3</v>
      </c>
      <c r="L14" s="6">
        <v>14.3</v>
      </c>
      <c r="M14" s="6">
        <v>1.5</v>
      </c>
      <c r="N14" s="9">
        <v>37.975499999999997</v>
      </c>
      <c r="O14" s="9">
        <v>18.3657</v>
      </c>
      <c r="P14" s="9">
        <f t="shared" si="0"/>
        <v>56.341200000000001</v>
      </c>
      <c r="Q14" s="3">
        <v>4.24</v>
      </c>
      <c r="R14" s="3">
        <v>61.6</v>
      </c>
      <c r="S14" s="9"/>
      <c r="T14" s="8">
        <v>43.65</v>
      </c>
      <c r="U14" s="8">
        <v>21.11</v>
      </c>
      <c r="V14" s="9">
        <v>64.759999999999991</v>
      </c>
      <c r="W14" s="6" t="s">
        <v>85</v>
      </c>
      <c r="X14" s="6" t="s">
        <v>83</v>
      </c>
      <c r="Y14" s="12" t="s">
        <v>88</v>
      </c>
    </row>
    <row r="15" spans="1:25" s="11" customFormat="1" x14ac:dyDescent="0.25">
      <c r="A15" s="4" t="s">
        <v>19</v>
      </c>
      <c r="B15" s="4">
        <v>2019</v>
      </c>
      <c r="C15" s="4" t="s">
        <v>18</v>
      </c>
      <c r="D15" s="4" t="s">
        <v>31</v>
      </c>
      <c r="E15" s="4">
        <v>5</v>
      </c>
      <c r="F15" s="4">
        <v>2</v>
      </c>
      <c r="G15" s="5">
        <v>31</v>
      </c>
      <c r="H15" s="6">
        <v>25</v>
      </c>
      <c r="I15" s="6">
        <v>2.5</v>
      </c>
      <c r="J15" s="7">
        <v>34</v>
      </c>
      <c r="K15" s="6">
        <v>703</v>
      </c>
      <c r="L15" s="6">
        <v>12.5</v>
      </c>
      <c r="M15" s="6">
        <v>1</v>
      </c>
      <c r="N15" s="9">
        <v>34.251899999999999</v>
      </c>
      <c r="O15" s="9">
        <v>19.827299999999997</v>
      </c>
      <c r="P15" s="9">
        <f t="shared" si="0"/>
        <v>54.0792</v>
      </c>
      <c r="Q15" s="3">
        <v>3.87</v>
      </c>
      <c r="R15" s="3">
        <v>76.739999999999995</v>
      </c>
      <c r="S15" s="9"/>
      <c r="T15" s="8">
        <v>39.369999999999997</v>
      </c>
      <c r="U15" s="8">
        <v>22.79</v>
      </c>
      <c r="V15" s="9">
        <v>62.16</v>
      </c>
      <c r="W15" s="6" t="s">
        <v>85</v>
      </c>
      <c r="X15" s="6" t="s">
        <v>83</v>
      </c>
      <c r="Y15" s="12" t="s">
        <v>88</v>
      </c>
    </row>
    <row r="16" spans="1:25" s="11" customFormat="1" x14ac:dyDescent="0.25">
      <c r="A16" s="4" t="s">
        <v>19</v>
      </c>
      <c r="B16" s="4">
        <v>2019</v>
      </c>
      <c r="C16" s="4" t="s">
        <v>18</v>
      </c>
      <c r="D16" s="4" t="s">
        <v>31</v>
      </c>
      <c r="E16" s="4">
        <v>5</v>
      </c>
      <c r="F16" s="4">
        <v>3</v>
      </c>
      <c r="G16" s="5">
        <v>43</v>
      </c>
      <c r="H16" s="7" t="s">
        <v>88</v>
      </c>
      <c r="I16" s="7" t="s">
        <v>88</v>
      </c>
      <c r="J16" s="7" t="s">
        <v>88</v>
      </c>
      <c r="K16" s="6">
        <v>545.29999999999995</v>
      </c>
      <c r="L16" s="6" t="s">
        <v>88</v>
      </c>
      <c r="M16" s="12" t="s">
        <v>88</v>
      </c>
      <c r="N16" s="9">
        <v>32.111699999999999</v>
      </c>
      <c r="O16" s="9">
        <v>20.967000000000002</v>
      </c>
      <c r="P16" s="9">
        <f t="shared" si="0"/>
        <v>53.078699999999998</v>
      </c>
      <c r="Q16" s="3">
        <v>4.33</v>
      </c>
      <c r="R16" s="3">
        <v>74.510000000000005</v>
      </c>
      <c r="S16" s="9"/>
      <c r="T16" s="8">
        <v>36.909999999999997</v>
      </c>
      <c r="U16" s="8">
        <v>24.1</v>
      </c>
      <c r="V16" s="9">
        <v>61.01</v>
      </c>
      <c r="W16" s="6" t="s">
        <v>82</v>
      </c>
      <c r="X16" s="6" t="s">
        <v>83</v>
      </c>
      <c r="Y16" s="12" t="s">
        <v>88</v>
      </c>
    </row>
    <row r="17" spans="1:25" s="11" customFormat="1" x14ac:dyDescent="0.25">
      <c r="A17" s="4" t="s">
        <v>19</v>
      </c>
      <c r="B17" s="4">
        <v>2019</v>
      </c>
      <c r="C17" s="4" t="s">
        <v>18</v>
      </c>
      <c r="D17" s="4" t="s">
        <v>25</v>
      </c>
      <c r="E17" s="4">
        <v>6</v>
      </c>
      <c r="F17" s="4">
        <v>1</v>
      </c>
      <c r="G17" s="5">
        <v>10</v>
      </c>
      <c r="H17" s="6">
        <v>28</v>
      </c>
      <c r="I17" s="6">
        <v>2.5</v>
      </c>
      <c r="J17" s="7">
        <v>30</v>
      </c>
      <c r="K17" s="6">
        <v>879.9</v>
      </c>
      <c r="L17" s="6">
        <v>13.5</v>
      </c>
      <c r="M17" s="6">
        <v>1</v>
      </c>
      <c r="N17" s="9">
        <v>37.018499999999996</v>
      </c>
      <c r="O17" s="9">
        <v>19.314</v>
      </c>
      <c r="P17" s="9">
        <f t="shared" si="0"/>
        <v>56.332499999999996</v>
      </c>
      <c r="Q17" s="3">
        <v>5.3</v>
      </c>
      <c r="R17" s="3">
        <v>63.21</v>
      </c>
      <c r="S17" s="9"/>
      <c r="T17" s="8">
        <v>42.55</v>
      </c>
      <c r="U17" s="8">
        <v>22.2</v>
      </c>
      <c r="V17" s="9">
        <v>64.75</v>
      </c>
      <c r="W17" s="6" t="s">
        <v>85</v>
      </c>
      <c r="X17" s="6" t="s">
        <v>83</v>
      </c>
      <c r="Y17" s="12" t="s">
        <v>88</v>
      </c>
    </row>
    <row r="18" spans="1:25" s="11" customFormat="1" x14ac:dyDescent="0.25">
      <c r="A18" s="4" t="s">
        <v>19</v>
      </c>
      <c r="B18" s="4">
        <v>2019</v>
      </c>
      <c r="C18" s="4" t="s">
        <v>18</v>
      </c>
      <c r="D18" s="4" t="s">
        <v>25</v>
      </c>
      <c r="E18" s="4">
        <v>6</v>
      </c>
      <c r="F18" s="4">
        <v>2</v>
      </c>
      <c r="G18" s="5">
        <v>30</v>
      </c>
      <c r="H18" s="6">
        <v>31</v>
      </c>
      <c r="I18" s="6">
        <v>2.5</v>
      </c>
      <c r="J18" s="7">
        <v>38</v>
      </c>
      <c r="K18" s="6">
        <v>861.9</v>
      </c>
      <c r="L18" s="6">
        <v>14.2</v>
      </c>
      <c r="M18" s="6">
        <v>1.5</v>
      </c>
      <c r="N18" s="9">
        <v>36.809699999999999</v>
      </c>
      <c r="O18" s="9">
        <v>18.992099999999997</v>
      </c>
      <c r="P18" s="9">
        <f t="shared" si="0"/>
        <v>55.8018</v>
      </c>
      <c r="Q18" s="3">
        <v>3.97</v>
      </c>
      <c r="R18" s="3">
        <v>60.92</v>
      </c>
      <c r="S18" s="9"/>
      <c r="T18" s="8">
        <v>42.31</v>
      </c>
      <c r="U18" s="8">
        <v>21.83</v>
      </c>
      <c r="V18" s="9">
        <v>64.14</v>
      </c>
      <c r="W18" s="6" t="s">
        <v>85</v>
      </c>
      <c r="X18" s="6" t="s">
        <v>83</v>
      </c>
      <c r="Y18" s="12" t="s">
        <v>88</v>
      </c>
    </row>
    <row r="19" spans="1:25" s="11" customFormat="1" x14ac:dyDescent="0.25">
      <c r="A19" s="4" t="s">
        <v>19</v>
      </c>
      <c r="B19" s="4">
        <v>2019</v>
      </c>
      <c r="C19" s="4" t="s">
        <v>18</v>
      </c>
      <c r="D19" s="4" t="s">
        <v>25</v>
      </c>
      <c r="E19" s="4">
        <v>6</v>
      </c>
      <c r="F19" s="4">
        <v>3</v>
      </c>
      <c r="G19" s="5">
        <v>44</v>
      </c>
      <c r="H19" s="7" t="s">
        <v>88</v>
      </c>
      <c r="I19" s="7" t="s">
        <v>88</v>
      </c>
      <c r="J19" s="7" t="s">
        <v>88</v>
      </c>
      <c r="K19" s="6">
        <v>1162</v>
      </c>
      <c r="L19" s="6" t="s">
        <v>88</v>
      </c>
      <c r="M19" s="12" t="s">
        <v>88</v>
      </c>
      <c r="N19" s="9">
        <v>34.887</v>
      </c>
      <c r="O19" s="9">
        <v>19.836000000000002</v>
      </c>
      <c r="P19" s="9">
        <f t="shared" si="0"/>
        <v>54.722999999999999</v>
      </c>
      <c r="Q19" s="3">
        <v>5.01</v>
      </c>
      <c r="R19" s="3">
        <v>59.23</v>
      </c>
      <c r="S19" s="9"/>
      <c r="T19" s="8">
        <v>40.1</v>
      </c>
      <c r="U19" s="8">
        <v>22.8</v>
      </c>
      <c r="V19" s="9">
        <v>62.900000000000006</v>
      </c>
      <c r="W19" s="6" t="s">
        <v>85</v>
      </c>
      <c r="X19" s="6" t="s">
        <v>83</v>
      </c>
      <c r="Y19" s="12" t="s">
        <v>88</v>
      </c>
    </row>
    <row r="20" spans="1:25" s="11" customFormat="1" x14ac:dyDescent="0.25">
      <c r="A20" s="4" t="s">
        <v>19</v>
      </c>
      <c r="B20" s="4">
        <v>2019</v>
      </c>
      <c r="C20" s="4" t="s">
        <v>18</v>
      </c>
      <c r="D20" s="4" t="s">
        <v>57</v>
      </c>
      <c r="E20" s="4">
        <v>7</v>
      </c>
      <c r="F20" s="4">
        <v>1</v>
      </c>
      <c r="G20" s="5">
        <v>4</v>
      </c>
      <c r="H20" s="6">
        <v>32</v>
      </c>
      <c r="I20" s="6">
        <v>2.5</v>
      </c>
      <c r="J20" s="7">
        <v>42</v>
      </c>
      <c r="K20" s="6">
        <v>949.9</v>
      </c>
      <c r="L20" s="6">
        <v>15.5</v>
      </c>
      <c r="M20" s="6">
        <v>1</v>
      </c>
      <c r="N20" s="9">
        <v>36.975000000000001</v>
      </c>
      <c r="O20" s="9">
        <v>18.5745</v>
      </c>
      <c r="P20" s="9">
        <f t="shared" si="0"/>
        <v>55.549500000000002</v>
      </c>
      <c r="Q20" s="3">
        <v>5.7</v>
      </c>
      <c r="R20" s="3">
        <v>52.3</v>
      </c>
      <c r="S20" s="9"/>
      <c r="T20" s="8">
        <v>42.5</v>
      </c>
      <c r="U20" s="8">
        <v>21.35</v>
      </c>
      <c r="V20" s="9">
        <v>63.85</v>
      </c>
      <c r="W20" s="6" t="s">
        <v>85</v>
      </c>
      <c r="X20" s="6" t="s">
        <v>83</v>
      </c>
      <c r="Y20" s="12" t="s">
        <v>88</v>
      </c>
    </row>
    <row r="21" spans="1:25" s="11" customFormat="1" x14ac:dyDescent="0.25">
      <c r="A21" s="4" t="s">
        <v>19</v>
      </c>
      <c r="B21" s="4">
        <v>2019</v>
      </c>
      <c r="C21" s="4" t="s">
        <v>18</v>
      </c>
      <c r="D21" s="4" t="s">
        <v>57</v>
      </c>
      <c r="E21" s="4">
        <v>7</v>
      </c>
      <c r="F21" s="4">
        <v>2</v>
      </c>
      <c r="G21" s="5">
        <v>27</v>
      </c>
      <c r="H21" s="6">
        <v>30</v>
      </c>
      <c r="I21" s="6">
        <v>2.5</v>
      </c>
      <c r="J21" s="7">
        <v>36</v>
      </c>
      <c r="K21" s="6">
        <v>1126</v>
      </c>
      <c r="L21" s="6">
        <v>14.6</v>
      </c>
      <c r="M21" s="6">
        <v>1</v>
      </c>
      <c r="N21" s="9">
        <v>35.904900000000005</v>
      </c>
      <c r="O21" s="9">
        <v>19.679400000000001</v>
      </c>
      <c r="P21" s="9">
        <f t="shared" si="0"/>
        <v>55.584300000000006</v>
      </c>
      <c r="Q21" s="3">
        <v>5.85</v>
      </c>
      <c r="R21" s="3">
        <v>56.36</v>
      </c>
      <c r="S21" s="9"/>
      <c r="T21" s="8">
        <v>41.27</v>
      </c>
      <c r="U21" s="8">
        <v>22.62</v>
      </c>
      <c r="V21" s="9">
        <v>63.89</v>
      </c>
      <c r="W21" s="6" t="s">
        <v>85</v>
      </c>
      <c r="X21" s="6" t="s">
        <v>83</v>
      </c>
      <c r="Y21" s="12" t="s">
        <v>88</v>
      </c>
    </row>
    <row r="22" spans="1:25" s="11" customFormat="1" x14ac:dyDescent="0.25">
      <c r="A22" s="4" t="s">
        <v>19</v>
      </c>
      <c r="B22" s="4">
        <v>2019</v>
      </c>
      <c r="C22" s="4" t="s">
        <v>18</v>
      </c>
      <c r="D22" s="4" t="s">
        <v>57</v>
      </c>
      <c r="E22" s="4">
        <v>7</v>
      </c>
      <c r="F22" s="4">
        <v>3</v>
      </c>
      <c r="G22" s="5">
        <v>41</v>
      </c>
      <c r="H22" s="7" t="s">
        <v>88</v>
      </c>
      <c r="I22" s="7" t="s">
        <v>88</v>
      </c>
      <c r="J22" s="7" t="s">
        <v>88</v>
      </c>
      <c r="K22" s="6">
        <v>547.1</v>
      </c>
      <c r="L22" s="6" t="s">
        <v>88</v>
      </c>
      <c r="M22" s="12" t="s">
        <v>88</v>
      </c>
      <c r="N22" s="9">
        <v>32.729399999999998</v>
      </c>
      <c r="O22" s="9">
        <v>20.845200000000002</v>
      </c>
      <c r="P22" s="9">
        <f t="shared" si="0"/>
        <v>53.574600000000004</v>
      </c>
      <c r="Q22" s="3">
        <v>5.64</v>
      </c>
      <c r="R22" s="3">
        <v>53.71</v>
      </c>
      <c r="S22" s="9"/>
      <c r="T22" s="8">
        <v>37.619999999999997</v>
      </c>
      <c r="U22" s="8">
        <v>23.96</v>
      </c>
      <c r="V22" s="9">
        <v>61.58</v>
      </c>
      <c r="W22" s="6" t="s">
        <v>85</v>
      </c>
      <c r="X22" s="6" t="s">
        <v>83</v>
      </c>
      <c r="Y22" s="12" t="s">
        <v>88</v>
      </c>
    </row>
    <row r="23" spans="1:25" s="11" customFormat="1" x14ac:dyDescent="0.25">
      <c r="A23" s="4" t="s">
        <v>19</v>
      </c>
      <c r="B23" s="4">
        <v>2019</v>
      </c>
      <c r="C23" s="4" t="s">
        <v>18</v>
      </c>
      <c r="D23" s="4" t="s">
        <v>29</v>
      </c>
      <c r="E23" s="4">
        <v>8</v>
      </c>
      <c r="F23" s="4">
        <v>1</v>
      </c>
      <c r="G23" s="5">
        <v>3</v>
      </c>
      <c r="H23" s="6">
        <v>31</v>
      </c>
      <c r="I23" s="6">
        <v>2.5</v>
      </c>
      <c r="J23" s="7">
        <v>33</v>
      </c>
      <c r="K23" s="6">
        <v>831.8</v>
      </c>
      <c r="L23" s="6">
        <v>14.7</v>
      </c>
      <c r="M23" s="6">
        <v>1.5</v>
      </c>
      <c r="N23" s="9">
        <v>37.679700000000004</v>
      </c>
      <c r="O23" s="9">
        <v>18.696299999999997</v>
      </c>
      <c r="P23" s="9">
        <f t="shared" si="0"/>
        <v>56.376000000000005</v>
      </c>
      <c r="Q23" s="3">
        <v>3.91</v>
      </c>
      <c r="R23" s="3">
        <v>60.47</v>
      </c>
      <c r="S23" s="9"/>
      <c r="T23" s="8">
        <v>43.31</v>
      </c>
      <c r="U23" s="8">
        <v>21.49</v>
      </c>
      <c r="V23" s="9">
        <v>64.8</v>
      </c>
      <c r="W23" s="6" t="s">
        <v>84</v>
      </c>
      <c r="X23" s="6" t="s">
        <v>83</v>
      </c>
      <c r="Y23" s="12" t="s">
        <v>88</v>
      </c>
    </row>
    <row r="24" spans="1:25" s="11" customFormat="1" x14ac:dyDescent="0.25">
      <c r="A24" s="4" t="s">
        <v>19</v>
      </c>
      <c r="B24" s="4">
        <v>2019</v>
      </c>
      <c r="C24" s="4" t="s">
        <v>18</v>
      </c>
      <c r="D24" s="4" t="s">
        <v>29</v>
      </c>
      <c r="E24" s="4">
        <v>8</v>
      </c>
      <c r="F24" s="4">
        <v>2</v>
      </c>
      <c r="G24" s="5">
        <v>18</v>
      </c>
      <c r="H24" s="6">
        <v>33</v>
      </c>
      <c r="I24" s="6">
        <v>2.5</v>
      </c>
      <c r="J24" s="7">
        <v>37</v>
      </c>
      <c r="K24" s="6">
        <v>849.9</v>
      </c>
      <c r="L24" s="6">
        <v>16.399999999999999</v>
      </c>
      <c r="M24" s="6">
        <v>2</v>
      </c>
      <c r="N24" s="9">
        <v>38.288699999999999</v>
      </c>
      <c r="O24" s="9">
        <v>18.4527</v>
      </c>
      <c r="P24" s="9">
        <f t="shared" si="0"/>
        <v>56.741399999999999</v>
      </c>
      <c r="Q24" s="3">
        <v>4.1500000000000004</v>
      </c>
      <c r="R24" s="3">
        <v>68.55</v>
      </c>
      <c r="S24" s="9"/>
      <c r="T24" s="8">
        <v>44.01</v>
      </c>
      <c r="U24" s="8">
        <v>21.21</v>
      </c>
      <c r="V24" s="9">
        <v>65.22</v>
      </c>
      <c r="W24" s="6" t="s">
        <v>84</v>
      </c>
      <c r="X24" s="6" t="s">
        <v>83</v>
      </c>
      <c r="Y24" s="12" t="s">
        <v>88</v>
      </c>
    </row>
    <row r="25" spans="1:25" s="11" customFormat="1" x14ac:dyDescent="0.25">
      <c r="A25" s="4" t="s">
        <v>19</v>
      </c>
      <c r="B25" s="4">
        <v>2019</v>
      </c>
      <c r="C25" s="4" t="s">
        <v>18</v>
      </c>
      <c r="D25" s="4" t="s">
        <v>29</v>
      </c>
      <c r="E25" s="4">
        <v>8</v>
      </c>
      <c r="F25" s="4">
        <v>3</v>
      </c>
      <c r="G25" s="5">
        <v>40</v>
      </c>
      <c r="H25" s="7" t="s">
        <v>88</v>
      </c>
      <c r="I25" s="7" t="s">
        <v>88</v>
      </c>
      <c r="J25" s="7" t="s">
        <v>88</v>
      </c>
      <c r="K25" s="6">
        <v>562.20000000000005</v>
      </c>
      <c r="L25" s="6" t="s">
        <v>88</v>
      </c>
      <c r="M25" s="12" t="s">
        <v>88</v>
      </c>
      <c r="N25" s="9">
        <v>33.4602</v>
      </c>
      <c r="O25" s="9">
        <v>20.436299999999999</v>
      </c>
      <c r="P25" s="9">
        <f t="shared" si="0"/>
        <v>53.896500000000003</v>
      </c>
      <c r="Q25" s="3">
        <v>4.71</v>
      </c>
      <c r="R25" s="3">
        <v>70.39</v>
      </c>
      <c r="S25" s="9"/>
      <c r="T25" s="8">
        <v>38.46</v>
      </c>
      <c r="U25" s="8">
        <v>23.49</v>
      </c>
      <c r="V25" s="9">
        <v>61.95</v>
      </c>
      <c r="W25" s="6" t="s">
        <v>84</v>
      </c>
      <c r="X25" s="6" t="s">
        <v>83</v>
      </c>
      <c r="Y25" s="12" t="s">
        <v>88</v>
      </c>
    </row>
    <row r="26" spans="1:25" s="11" customFormat="1" x14ac:dyDescent="0.25">
      <c r="A26" s="4" t="s">
        <v>19</v>
      </c>
      <c r="B26" s="4">
        <v>2019</v>
      </c>
      <c r="C26" s="4" t="s">
        <v>18</v>
      </c>
      <c r="D26" s="4" t="s">
        <v>48</v>
      </c>
      <c r="E26" s="4">
        <v>9</v>
      </c>
      <c r="F26" s="4">
        <v>1</v>
      </c>
      <c r="G26" s="5">
        <v>7</v>
      </c>
      <c r="H26" s="6">
        <v>26</v>
      </c>
      <c r="I26" s="6">
        <v>2.5</v>
      </c>
      <c r="J26" s="7">
        <v>34</v>
      </c>
      <c r="K26" s="6">
        <v>1189.5999999999999</v>
      </c>
      <c r="L26" s="6">
        <v>20.100000000000001</v>
      </c>
      <c r="M26" s="6">
        <v>1.5</v>
      </c>
      <c r="N26" s="9">
        <v>37.001100000000001</v>
      </c>
      <c r="O26" s="9">
        <v>20.1753</v>
      </c>
      <c r="P26" s="9">
        <f t="shared" si="0"/>
        <v>57.176400000000001</v>
      </c>
      <c r="Q26" s="3">
        <v>3.33</v>
      </c>
      <c r="R26" s="3">
        <v>70.040000000000006</v>
      </c>
      <c r="S26" s="9"/>
      <c r="T26" s="8">
        <v>42.53</v>
      </c>
      <c r="U26" s="8">
        <v>23.19</v>
      </c>
      <c r="V26" s="9">
        <v>65.72</v>
      </c>
      <c r="W26" s="6" t="s">
        <v>82</v>
      </c>
      <c r="X26" s="6" t="s">
        <v>86</v>
      </c>
      <c r="Y26" s="12" t="s">
        <v>88</v>
      </c>
    </row>
    <row r="27" spans="1:25" s="11" customFormat="1" x14ac:dyDescent="0.25">
      <c r="A27" s="4" t="s">
        <v>19</v>
      </c>
      <c r="B27" s="4">
        <v>2019</v>
      </c>
      <c r="C27" s="4" t="s">
        <v>18</v>
      </c>
      <c r="D27" s="4" t="s">
        <v>48</v>
      </c>
      <c r="E27" s="4">
        <v>9</v>
      </c>
      <c r="F27" s="4">
        <v>2</v>
      </c>
      <c r="G27" s="5">
        <v>26</v>
      </c>
      <c r="H27" s="6">
        <v>22</v>
      </c>
      <c r="I27" s="6">
        <v>2</v>
      </c>
      <c r="J27" s="7">
        <v>28</v>
      </c>
      <c r="K27" s="6">
        <v>724.3</v>
      </c>
      <c r="L27" s="6">
        <v>16.3</v>
      </c>
      <c r="M27" s="6">
        <v>1.5</v>
      </c>
      <c r="N27" s="9">
        <v>33.738599999999998</v>
      </c>
      <c r="O27" s="9">
        <v>21.0105</v>
      </c>
      <c r="P27" s="9">
        <f t="shared" si="0"/>
        <v>54.749099999999999</v>
      </c>
      <c r="Q27" s="3">
        <v>4.07</v>
      </c>
      <c r="R27" s="3">
        <v>65.5</v>
      </c>
      <c r="S27" s="9"/>
      <c r="T27" s="8">
        <v>38.78</v>
      </c>
      <c r="U27" s="8">
        <v>24.15</v>
      </c>
      <c r="V27" s="9">
        <v>62.93</v>
      </c>
      <c r="W27" s="6" t="s">
        <v>82</v>
      </c>
      <c r="X27" s="6" t="s">
        <v>86</v>
      </c>
      <c r="Y27" s="12" t="s">
        <v>88</v>
      </c>
    </row>
    <row r="28" spans="1:25" s="11" customFormat="1" x14ac:dyDescent="0.25">
      <c r="A28" s="4" t="s">
        <v>19</v>
      </c>
      <c r="B28" s="4">
        <v>2019</v>
      </c>
      <c r="C28" s="4" t="s">
        <v>18</v>
      </c>
      <c r="D28" s="4" t="s">
        <v>48</v>
      </c>
      <c r="E28" s="4">
        <v>9</v>
      </c>
      <c r="F28" s="4">
        <v>3</v>
      </c>
      <c r="G28" s="5">
        <v>38</v>
      </c>
      <c r="H28" s="7" t="s">
        <v>88</v>
      </c>
      <c r="I28" s="7" t="s">
        <v>88</v>
      </c>
      <c r="J28" s="7" t="s">
        <v>88</v>
      </c>
      <c r="K28" s="6">
        <v>715</v>
      </c>
      <c r="L28" s="6" t="s">
        <v>88</v>
      </c>
      <c r="M28" s="12" t="s">
        <v>88</v>
      </c>
      <c r="N28" s="9">
        <v>33.616799999999998</v>
      </c>
      <c r="O28" s="9">
        <v>20.958300000000001</v>
      </c>
      <c r="P28" s="9">
        <f t="shared" si="0"/>
        <v>54.575099999999999</v>
      </c>
      <c r="Q28" s="3">
        <v>3.42</v>
      </c>
      <c r="R28" s="3">
        <v>62.89</v>
      </c>
      <c r="S28" s="9"/>
      <c r="T28" s="8">
        <v>38.64</v>
      </c>
      <c r="U28" s="8">
        <v>24.09</v>
      </c>
      <c r="V28" s="9">
        <v>62.730000000000004</v>
      </c>
      <c r="W28" s="6" t="s">
        <v>82</v>
      </c>
      <c r="X28" s="6" t="s">
        <v>86</v>
      </c>
      <c r="Y28" s="12" t="s">
        <v>88</v>
      </c>
    </row>
    <row r="29" spans="1:25" s="11" customFormat="1" x14ac:dyDescent="0.25">
      <c r="A29" s="4" t="s">
        <v>19</v>
      </c>
      <c r="B29" s="4">
        <v>2019</v>
      </c>
      <c r="C29" s="4" t="s">
        <v>18</v>
      </c>
      <c r="D29" s="4" t="s">
        <v>66</v>
      </c>
      <c r="E29" s="4">
        <v>10</v>
      </c>
      <c r="F29" s="4">
        <v>1</v>
      </c>
      <c r="G29" s="5">
        <v>6</v>
      </c>
      <c r="H29" s="6">
        <v>22</v>
      </c>
      <c r="I29" s="6">
        <v>2.5</v>
      </c>
      <c r="J29" s="7">
        <v>30</v>
      </c>
      <c r="K29" s="6">
        <v>624.5</v>
      </c>
      <c r="L29" s="6">
        <v>15.2</v>
      </c>
      <c r="M29" s="6">
        <v>1.5</v>
      </c>
      <c r="N29" s="9">
        <v>34.138800000000003</v>
      </c>
      <c r="O29" s="9">
        <v>20.610300000000002</v>
      </c>
      <c r="P29" s="9">
        <f t="shared" si="0"/>
        <v>54.749100000000006</v>
      </c>
      <c r="Q29" s="3">
        <v>4.59</v>
      </c>
      <c r="R29" s="3">
        <v>56.62</v>
      </c>
      <c r="S29" s="9"/>
      <c r="T29" s="8">
        <v>39.24</v>
      </c>
      <c r="U29" s="8">
        <v>23.69</v>
      </c>
      <c r="V29" s="9">
        <v>62.930000000000007</v>
      </c>
      <c r="W29" s="6" t="s">
        <v>82</v>
      </c>
      <c r="X29" s="6" t="s">
        <v>86</v>
      </c>
      <c r="Y29" s="12" t="s">
        <v>88</v>
      </c>
    </row>
    <row r="30" spans="1:25" s="11" customFormat="1" x14ac:dyDescent="0.25">
      <c r="A30" s="4" t="s">
        <v>19</v>
      </c>
      <c r="B30" s="4">
        <v>2019</v>
      </c>
      <c r="C30" s="4" t="s">
        <v>18</v>
      </c>
      <c r="D30" s="4" t="s">
        <v>66</v>
      </c>
      <c r="E30" s="4">
        <v>10</v>
      </c>
      <c r="F30" s="4">
        <v>2</v>
      </c>
      <c r="G30" s="5">
        <v>25</v>
      </c>
      <c r="H30" s="6">
        <v>25</v>
      </c>
      <c r="I30" s="6">
        <v>2</v>
      </c>
      <c r="J30" s="7">
        <v>31</v>
      </c>
      <c r="K30" s="6">
        <v>707.9</v>
      </c>
      <c r="L30" s="6">
        <v>17.899999999999999</v>
      </c>
      <c r="M30" s="6">
        <v>2</v>
      </c>
      <c r="N30" s="9">
        <v>34.451999999999998</v>
      </c>
      <c r="O30" s="9">
        <v>20.566800000000001</v>
      </c>
      <c r="P30" s="9">
        <f t="shared" si="0"/>
        <v>55.018799999999999</v>
      </c>
      <c r="Q30" s="3">
        <v>4.9000000000000004</v>
      </c>
      <c r="R30" s="3">
        <v>71.28</v>
      </c>
      <c r="S30" s="9"/>
      <c r="T30" s="8">
        <v>39.6</v>
      </c>
      <c r="U30" s="8">
        <v>23.64</v>
      </c>
      <c r="V30" s="9">
        <v>63.24</v>
      </c>
      <c r="W30" s="6" t="s">
        <v>82</v>
      </c>
      <c r="X30" s="6" t="s">
        <v>86</v>
      </c>
      <c r="Y30" s="12" t="s">
        <v>88</v>
      </c>
    </row>
    <row r="31" spans="1:25" s="11" customFormat="1" x14ac:dyDescent="0.25">
      <c r="A31" s="4" t="s">
        <v>19</v>
      </c>
      <c r="B31" s="4">
        <v>2019</v>
      </c>
      <c r="C31" s="4" t="s">
        <v>18</v>
      </c>
      <c r="D31" s="4" t="s">
        <v>66</v>
      </c>
      <c r="E31" s="4">
        <v>10</v>
      </c>
      <c r="F31" s="4">
        <v>3</v>
      </c>
      <c r="G31" s="5">
        <v>36</v>
      </c>
      <c r="H31" s="7" t="s">
        <v>88</v>
      </c>
      <c r="I31" s="7" t="s">
        <v>88</v>
      </c>
      <c r="J31" s="7" t="s">
        <v>88</v>
      </c>
      <c r="K31" s="6">
        <v>677.6</v>
      </c>
      <c r="L31" s="6" t="s">
        <v>88</v>
      </c>
      <c r="M31" s="12" t="s">
        <v>88</v>
      </c>
      <c r="N31" s="9">
        <v>32.007300000000001</v>
      </c>
      <c r="O31" s="9">
        <v>21.7239</v>
      </c>
      <c r="P31" s="9">
        <f t="shared" si="0"/>
        <v>53.731200000000001</v>
      </c>
      <c r="Q31" s="3">
        <v>4.09</v>
      </c>
      <c r="R31" s="3">
        <v>69.97</v>
      </c>
      <c r="S31" s="9"/>
      <c r="T31" s="8">
        <v>36.79</v>
      </c>
      <c r="U31" s="8">
        <v>24.97</v>
      </c>
      <c r="V31" s="9">
        <v>61.76</v>
      </c>
      <c r="W31" s="6" t="s">
        <v>82</v>
      </c>
      <c r="X31" s="6" t="s">
        <v>86</v>
      </c>
      <c r="Y31" s="12" t="s">
        <v>88</v>
      </c>
    </row>
    <row r="32" spans="1:25" s="11" customFormat="1" x14ac:dyDescent="0.25">
      <c r="A32" s="4" t="s">
        <v>19</v>
      </c>
      <c r="B32" s="4">
        <v>2019</v>
      </c>
      <c r="C32" s="4" t="s">
        <v>18</v>
      </c>
      <c r="D32" s="4" t="s">
        <v>34</v>
      </c>
      <c r="E32" s="4">
        <v>11</v>
      </c>
      <c r="F32" s="4">
        <v>1</v>
      </c>
      <c r="G32" s="5">
        <v>5</v>
      </c>
      <c r="H32" s="6">
        <v>22</v>
      </c>
      <c r="I32" s="6">
        <v>2</v>
      </c>
      <c r="J32" s="7">
        <v>30</v>
      </c>
      <c r="K32" s="6">
        <v>587</v>
      </c>
      <c r="L32" s="6">
        <v>14.9</v>
      </c>
      <c r="M32" s="6">
        <v>1.5</v>
      </c>
      <c r="N32" s="9">
        <v>32.0595</v>
      </c>
      <c r="O32" s="9">
        <v>21.671700000000001</v>
      </c>
      <c r="P32" s="9">
        <f t="shared" si="0"/>
        <v>53.731200000000001</v>
      </c>
      <c r="Q32" s="3">
        <v>5.05</v>
      </c>
      <c r="R32" s="3">
        <v>61.9</v>
      </c>
      <c r="S32" s="9"/>
      <c r="T32" s="8">
        <v>36.85</v>
      </c>
      <c r="U32" s="8">
        <v>24.91</v>
      </c>
      <c r="V32" s="9">
        <v>61.760000000000005</v>
      </c>
      <c r="W32" s="6" t="s">
        <v>82</v>
      </c>
      <c r="X32" s="6" t="s">
        <v>86</v>
      </c>
      <c r="Y32" s="12" t="s">
        <v>88</v>
      </c>
    </row>
    <row r="33" spans="1:25" s="11" customFormat="1" x14ac:dyDescent="0.25">
      <c r="A33" s="4" t="s">
        <v>19</v>
      </c>
      <c r="B33" s="4">
        <v>2019</v>
      </c>
      <c r="C33" s="4" t="s">
        <v>18</v>
      </c>
      <c r="D33" s="4" t="s">
        <v>34</v>
      </c>
      <c r="E33" s="4">
        <v>11</v>
      </c>
      <c r="F33" s="4">
        <v>2</v>
      </c>
      <c r="G33" s="5">
        <v>23</v>
      </c>
      <c r="H33" s="6">
        <v>24</v>
      </c>
      <c r="I33" s="6">
        <v>3</v>
      </c>
      <c r="J33" s="7">
        <v>29</v>
      </c>
      <c r="K33" s="6">
        <v>977.2</v>
      </c>
      <c r="L33" s="6">
        <v>19.2</v>
      </c>
      <c r="M33" s="6">
        <v>1</v>
      </c>
      <c r="N33" s="9">
        <v>36.6096</v>
      </c>
      <c r="O33" s="9">
        <v>20.488500000000002</v>
      </c>
      <c r="P33" s="9">
        <f t="shared" si="0"/>
        <v>57.098100000000002</v>
      </c>
      <c r="Q33" s="3">
        <v>3.76</v>
      </c>
      <c r="R33" s="3">
        <v>63.05</v>
      </c>
      <c r="S33" s="9"/>
      <c r="T33" s="8">
        <v>42.08</v>
      </c>
      <c r="U33" s="8">
        <v>23.55</v>
      </c>
      <c r="V33" s="9">
        <v>65.63</v>
      </c>
      <c r="W33" s="6" t="s">
        <v>82</v>
      </c>
      <c r="X33" s="6" t="s">
        <v>86</v>
      </c>
      <c r="Y33" s="12" t="s">
        <v>88</v>
      </c>
    </row>
    <row r="34" spans="1:25" s="11" customFormat="1" x14ac:dyDescent="0.25">
      <c r="A34" s="4" t="s">
        <v>19</v>
      </c>
      <c r="B34" s="4">
        <v>2019</v>
      </c>
      <c r="C34" s="4" t="s">
        <v>18</v>
      </c>
      <c r="D34" s="4" t="s">
        <v>34</v>
      </c>
      <c r="E34" s="4">
        <v>11</v>
      </c>
      <c r="F34" s="4">
        <v>3</v>
      </c>
      <c r="G34" s="5">
        <v>35</v>
      </c>
      <c r="H34" s="7" t="s">
        <v>88</v>
      </c>
      <c r="I34" s="7" t="s">
        <v>88</v>
      </c>
      <c r="J34" s="7" t="s">
        <v>88</v>
      </c>
      <c r="K34" s="6">
        <v>489.6</v>
      </c>
      <c r="L34" s="6" t="s">
        <v>88</v>
      </c>
      <c r="M34" s="12" t="s">
        <v>88</v>
      </c>
      <c r="N34" s="9">
        <v>32.877299999999998</v>
      </c>
      <c r="O34" s="9">
        <v>22.037099999999999</v>
      </c>
      <c r="P34" s="9">
        <f t="shared" si="0"/>
        <v>54.914400000000001</v>
      </c>
      <c r="Q34" s="3">
        <v>4.62</v>
      </c>
      <c r="R34" s="3">
        <v>62.6</v>
      </c>
      <c r="S34" s="9"/>
      <c r="T34" s="8">
        <v>37.79</v>
      </c>
      <c r="U34" s="8">
        <v>25.33</v>
      </c>
      <c r="V34" s="9">
        <v>63.12</v>
      </c>
      <c r="W34" s="6" t="s">
        <v>82</v>
      </c>
      <c r="X34" s="6" t="s">
        <v>86</v>
      </c>
      <c r="Y34" s="12" t="s">
        <v>88</v>
      </c>
    </row>
    <row r="35" spans="1:25" s="11" customFormat="1" x14ac:dyDescent="0.25">
      <c r="A35" s="4" t="s">
        <v>19</v>
      </c>
      <c r="B35" s="4">
        <v>2019</v>
      </c>
      <c r="C35" s="4" t="s">
        <v>18</v>
      </c>
      <c r="D35" s="4" t="s">
        <v>42</v>
      </c>
      <c r="E35" s="4">
        <v>12</v>
      </c>
      <c r="F35" s="4">
        <v>1</v>
      </c>
      <c r="G35" s="5">
        <v>12</v>
      </c>
      <c r="H35" s="6">
        <v>22</v>
      </c>
      <c r="I35" s="6">
        <v>2.5</v>
      </c>
      <c r="J35" s="7">
        <v>35</v>
      </c>
      <c r="K35" s="6">
        <v>1091.5</v>
      </c>
      <c r="L35" s="6">
        <v>17.600000000000001</v>
      </c>
      <c r="M35" s="6">
        <v>1.5</v>
      </c>
      <c r="N35" s="9">
        <v>35.026199999999996</v>
      </c>
      <c r="O35" s="9">
        <v>21.080100000000002</v>
      </c>
      <c r="P35" s="9">
        <f t="shared" si="0"/>
        <v>56.106299999999997</v>
      </c>
      <c r="Q35" s="3">
        <v>3.74</v>
      </c>
      <c r="R35" s="3">
        <v>66.3</v>
      </c>
      <c r="S35" s="9"/>
      <c r="T35" s="8">
        <v>40.26</v>
      </c>
      <c r="U35" s="8">
        <v>24.23</v>
      </c>
      <c r="V35" s="9">
        <v>64.489999999999995</v>
      </c>
      <c r="W35" s="6" t="s">
        <v>82</v>
      </c>
      <c r="X35" s="6" t="s">
        <v>86</v>
      </c>
      <c r="Y35" s="12" t="s">
        <v>88</v>
      </c>
    </row>
    <row r="36" spans="1:25" s="11" customFormat="1" x14ac:dyDescent="0.25">
      <c r="A36" s="4" t="s">
        <v>19</v>
      </c>
      <c r="B36" s="4">
        <v>2019</v>
      </c>
      <c r="C36" s="4" t="s">
        <v>18</v>
      </c>
      <c r="D36" s="4" t="s">
        <v>42</v>
      </c>
      <c r="E36" s="4">
        <v>12</v>
      </c>
      <c r="F36" s="4">
        <v>2</v>
      </c>
      <c r="G36" s="5">
        <v>19</v>
      </c>
      <c r="H36" s="6">
        <v>20</v>
      </c>
      <c r="I36" s="6">
        <v>2</v>
      </c>
      <c r="J36" s="7">
        <v>36</v>
      </c>
      <c r="K36" s="6">
        <v>1074.9000000000001</v>
      </c>
      <c r="L36" s="6">
        <v>18.399999999999999</v>
      </c>
      <c r="M36" s="6">
        <v>1.5</v>
      </c>
      <c r="N36" s="9">
        <v>35.522100000000002</v>
      </c>
      <c r="O36" s="9">
        <v>20.697299999999998</v>
      </c>
      <c r="P36" s="9">
        <f t="shared" si="0"/>
        <v>56.2194</v>
      </c>
      <c r="Q36" s="3">
        <v>3.95</v>
      </c>
      <c r="R36" s="3">
        <v>67.98</v>
      </c>
      <c r="S36" s="9"/>
      <c r="T36" s="8">
        <v>40.83</v>
      </c>
      <c r="U36" s="8">
        <v>23.79</v>
      </c>
      <c r="V36" s="9">
        <v>64.62</v>
      </c>
      <c r="W36" s="6" t="s">
        <v>82</v>
      </c>
      <c r="X36" s="6" t="s">
        <v>86</v>
      </c>
      <c r="Y36" s="12" t="s">
        <v>88</v>
      </c>
    </row>
    <row r="37" spans="1:25" s="11" customFormat="1" x14ac:dyDescent="0.25">
      <c r="A37" s="4" t="s">
        <v>19</v>
      </c>
      <c r="B37" s="4">
        <v>2019</v>
      </c>
      <c r="C37" s="4" t="s">
        <v>18</v>
      </c>
      <c r="D37" s="4" t="s">
        <v>42</v>
      </c>
      <c r="E37" s="4">
        <v>12</v>
      </c>
      <c r="F37" s="4">
        <v>3</v>
      </c>
      <c r="G37" s="5">
        <v>45</v>
      </c>
      <c r="H37" s="7" t="s">
        <v>88</v>
      </c>
      <c r="I37" s="7" t="s">
        <v>88</v>
      </c>
      <c r="J37" s="7" t="s">
        <v>88</v>
      </c>
      <c r="K37" s="6">
        <v>668.7</v>
      </c>
      <c r="L37" s="6" t="s">
        <v>88</v>
      </c>
      <c r="M37" s="12" t="s">
        <v>88</v>
      </c>
      <c r="N37" s="9">
        <v>32.163899999999998</v>
      </c>
      <c r="O37" s="9">
        <v>21.593399999999999</v>
      </c>
      <c r="P37" s="9">
        <f t="shared" si="0"/>
        <v>53.757300000000001</v>
      </c>
      <c r="Q37" s="3">
        <v>4.63</v>
      </c>
      <c r="R37" s="3">
        <v>72.62</v>
      </c>
      <c r="S37" s="9"/>
      <c r="T37" s="8">
        <v>36.97</v>
      </c>
      <c r="U37" s="8">
        <v>24.82</v>
      </c>
      <c r="V37" s="9">
        <v>61.79</v>
      </c>
      <c r="W37" s="6" t="s">
        <v>82</v>
      </c>
      <c r="X37" s="6" t="s">
        <v>86</v>
      </c>
      <c r="Y37" s="12" t="s">
        <v>88</v>
      </c>
    </row>
    <row r="38" spans="1:25" s="11" customFormat="1" x14ac:dyDescent="0.25">
      <c r="A38" s="4" t="s">
        <v>19</v>
      </c>
      <c r="B38" s="4">
        <v>2019</v>
      </c>
      <c r="C38" s="4" t="s">
        <v>18</v>
      </c>
      <c r="D38" s="4" t="s">
        <v>51</v>
      </c>
      <c r="E38" s="4">
        <v>13</v>
      </c>
      <c r="F38" s="4">
        <v>1</v>
      </c>
      <c r="G38" s="5">
        <v>9</v>
      </c>
      <c r="H38" s="6">
        <v>14</v>
      </c>
      <c r="I38" s="6">
        <v>2.5</v>
      </c>
      <c r="J38" s="7">
        <v>32</v>
      </c>
      <c r="K38" s="6">
        <v>756.1</v>
      </c>
      <c r="L38" s="6">
        <v>14.2</v>
      </c>
      <c r="M38" s="6">
        <v>1</v>
      </c>
      <c r="N38" s="9">
        <v>36.165900000000001</v>
      </c>
      <c r="O38" s="9">
        <v>19.601100000000002</v>
      </c>
      <c r="P38" s="9">
        <f t="shared" si="0"/>
        <v>55.767000000000003</v>
      </c>
      <c r="Q38" s="3">
        <v>6.28</v>
      </c>
      <c r="R38" s="3">
        <v>34.29</v>
      </c>
      <c r="S38" s="9"/>
      <c r="T38" s="8">
        <v>41.57</v>
      </c>
      <c r="U38" s="8">
        <v>22.53</v>
      </c>
      <c r="V38" s="9">
        <v>64.099999999999994</v>
      </c>
      <c r="W38" s="6" t="s">
        <v>82</v>
      </c>
      <c r="X38" s="6" t="s">
        <v>87</v>
      </c>
      <c r="Y38" s="12" t="s">
        <v>88</v>
      </c>
    </row>
    <row r="39" spans="1:25" s="11" customFormat="1" x14ac:dyDescent="0.25">
      <c r="A39" s="4" t="s">
        <v>19</v>
      </c>
      <c r="B39" s="4">
        <v>2019</v>
      </c>
      <c r="C39" s="4" t="s">
        <v>18</v>
      </c>
      <c r="D39" s="4" t="s">
        <v>51</v>
      </c>
      <c r="E39" s="4">
        <v>13</v>
      </c>
      <c r="F39" s="4">
        <v>2</v>
      </c>
      <c r="G39" s="5">
        <v>17</v>
      </c>
      <c r="H39" s="6">
        <v>12</v>
      </c>
      <c r="I39" s="6">
        <v>2.5</v>
      </c>
      <c r="J39" s="7">
        <v>29</v>
      </c>
      <c r="K39" s="6">
        <v>790.5</v>
      </c>
      <c r="L39" s="6">
        <v>13.9</v>
      </c>
      <c r="M39" s="6">
        <v>1.5</v>
      </c>
      <c r="N39" s="9">
        <v>36.844500000000004</v>
      </c>
      <c r="O39" s="9">
        <v>18.974699999999999</v>
      </c>
      <c r="P39" s="9">
        <f t="shared" si="0"/>
        <v>55.819200000000002</v>
      </c>
      <c r="Q39" s="3">
        <v>5.86</v>
      </c>
      <c r="R39" s="3">
        <v>38.18</v>
      </c>
      <c r="S39" s="9"/>
      <c r="T39" s="8">
        <v>42.35</v>
      </c>
      <c r="U39" s="8">
        <v>21.81</v>
      </c>
      <c r="V39" s="9">
        <v>64.16</v>
      </c>
      <c r="W39" s="6" t="s">
        <v>82</v>
      </c>
      <c r="X39" s="6" t="s">
        <v>87</v>
      </c>
      <c r="Y39" s="12" t="s">
        <v>88</v>
      </c>
    </row>
    <row r="40" spans="1:25" s="11" customFormat="1" x14ac:dyDescent="0.25">
      <c r="A40" s="4" t="s">
        <v>19</v>
      </c>
      <c r="B40" s="4">
        <v>2019</v>
      </c>
      <c r="C40" s="4" t="s">
        <v>18</v>
      </c>
      <c r="D40" s="4" t="s">
        <v>51</v>
      </c>
      <c r="E40" s="4">
        <v>13</v>
      </c>
      <c r="F40" s="4">
        <v>3</v>
      </c>
      <c r="G40" s="5">
        <v>34</v>
      </c>
      <c r="H40" s="7" t="s">
        <v>88</v>
      </c>
      <c r="I40" s="7" t="s">
        <v>88</v>
      </c>
      <c r="J40" s="7" t="s">
        <v>88</v>
      </c>
      <c r="K40" s="6">
        <v>762.6</v>
      </c>
      <c r="L40" s="6" t="s">
        <v>88</v>
      </c>
      <c r="M40" s="12" t="s">
        <v>88</v>
      </c>
      <c r="N40" s="9">
        <v>35.983199999999997</v>
      </c>
      <c r="O40" s="9">
        <v>19.331399999999999</v>
      </c>
      <c r="P40" s="9">
        <f t="shared" si="0"/>
        <v>55.314599999999999</v>
      </c>
      <c r="Q40" s="3">
        <v>5.6</v>
      </c>
      <c r="R40" s="3">
        <v>38.22</v>
      </c>
      <c r="S40" s="9"/>
      <c r="T40" s="8">
        <v>41.36</v>
      </c>
      <c r="U40" s="8">
        <v>22.22</v>
      </c>
      <c r="V40" s="9">
        <v>63.58</v>
      </c>
      <c r="W40" s="6" t="s">
        <v>82</v>
      </c>
      <c r="X40" s="6" t="s">
        <v>87</v>
      </c>
      <c r="Y40" s="12" t="s">
        <v>88</v>
      </c>
    </row>
    <row r="41" spans="1:25" s="11" customFormat="1" x14ac:dyDescent="0.25">
      <c r="A41" s="4" t="s">
        <v>19</v>
      </c>
      <c r="B41" s="4">
        <v>2019</v>
      </c>
      <c r="C41" s="4" t="s">
        <v>18</v>
      </c>
      <c r="D41" s="4" t="s">
        <v>38</v>
      </c>
      <c r="E41" s="4">
        <v>14</v>
      </c>
      <c r="F41" s="4">
        <v>1</v>
      </c>
      <c r="G41" s="5">
        <v>16</v>
      </c>
      <c r="H41" s="6">
        <v>31</v>
      </c>
      <c r="I41" s="6">
        <v>2.5</v>
      </c>
      <c r="J41" s="7">
        <v>33</v>
      </c>
      <c r="K41" s="6">
        <v>750.8</v>
      </c>
      <c r="L41" s="6">
        <v>14.9</v>
      </c>
      <c r="M41" s="6">
        <v>2</v>
      </c>
      <c r="N41" s="9">
        <v>38.271300000000004</v>
      </c>
      <c r="O41" s="9">
        <v>18.522299999999998</v>
      </c>
      <c r="P41" s="9">
        <f t="shared" si="0"/>
        <v>56.793599999999998</v>
      </c>
      <c r="Q41" s="3">
        <v>8.82</v>
      </c>
      <c r="R41" s="3">
        <v>12.03</v>
      </c>
      <c r="S41" s="9"/>
      <c r="T41" s="8">
        <v>43.99</v>
      </c>
      <c r="U41" s="8">
        <v>21.29</v>
      </c>
      <c r="V41" s="9">
        <v>65.28</v>
      </c>
      <c r="W41" s="6" t="s">
        <v>84</v>
      </c>
      <c r="X41" s="6" t="s">
        <v>83</v>
      </c>
      <c r="Y41" s="12" t="s">
        <v>88</v>
      </c>
    </row>
    <row r="42" spans="1:25" s="11" customFormat="1" x14ac:dyDescent="0.25">
      <c r="A42" s="4" t="s">
        <v>19</v>
      </c>
      <c r="B42" s="4">
        <v>2019</v>
      </c>
      <c r="C42" s="4" t="s">
        <v>18</v>
      </c>
      <c r="D42" s="4" t="s">
        <v>38</v>
      </c>
      <c r="E42" s="4">
        <v>14</v>
      </c>
      <c r="F42" s="4">
        <v>2</v>
      </c>
      <c r="G42" s="5">
        <v>22</v>
      </c>
      <c r="H42" s="6">
        <v>31</v>
      </c>
      <c r="I42" s="6">
        <v>2.5</v>
      </c>
      <c r="J42" s="7">
        <v>41</v>
      </c>
      <c r="K42" s="6">
        <v>1263.5</v>
      </c>
      <c r="L42" s="6">
        <v>16.3</v>
      </c>
      <c r="M42" s="6">
        <v>1.5</v>
      </c>
      <c r="N42" s="9">
        <v>38.9238</v>
      </c>
      <c r="O42" s="9">
        <v>17.9133</v>
      </c>
      <c r="P42" s="9">
        <f t="shared" si="0"/>
        <v>56.8371</v>
      </c>
      <c r="Q42" s="3">
        <v>9.77</v>
      </c>
      <c r="R42" s="3">
        <v>10.87</v>
      </c>
      <c r="S42" s="9"/>
      <c r="T42" s="8">
        <v>44.74</v>
      </c>
      <c r="U42" s="8">
        <v>20.59</v>
      </c>
      <c r="V42" s="9">
        <v>65.33</v>
      </c>
      <c r="W42" s="6" t="s">
        <v>84</v>
      </c>
      <c r="X42" s="6" t="s">
        <v>83</v>
      </c>
      <c r="Y42" s="12" t="s">
        <v>88</v>
      </c>
    </row>
    <row r="43" spans="1:25" s="11" customFormat="1" x14ac:dyDescent="0.25">
      <c r="A43" s="4" t="s">
        <v>19</v>
      </c>
      <c r="B43" s="4">
        <v>2019</v>
      </c>
      <c r="C43" s="4" t="s">
        <v>18</v>
      </c>
      <c r="D43" s="4" t="s">
        <v>38</v>
      </c>
      <c r="E43" s="4">
        <v>14</v>
      </c>
      <c r="F43" s="4">
        <v>3</v>
      </c>
      <c r="G43" s="5">
        <v>37</v>
      </c>
      <c r="H43" s="7" t="s">
        <v>88</v>
      </c>
      <c r="I43" s="7" t="s">
        <v>88</v>
      </c>
      <c r="J43" s="7" t="s">
        <v>88</v>
      </c>
      <c r="K43" s="6">
        <v>1280.2</v>
      </c>
      <c r="L43" s="6" t="s">
        <v>88</v>
      </c>
      <c r="M43" s="12" t="s">
        <v>88</v>
      </c>
      <c r="N43" s="9">
        <v>37.584000000000003</v>
      </c>
      <c r="O43" s="9">
        <v>18.6876</v>
      </c>
      <c r="P43" s="9">
        <f t="shared" si="0"/>
        <v>56.271600000000007</v>
      </c>
      <c r="Q43" s="3">
        <v>9.3699999999999992</v>
      </c>
      <c r="R43" s="3">
        <v>10.76</v>
      </c>
      <c r="S43" s="9"/>
      <c r="T43" s="8">
        <v>43.2</v>
      </c>
      <c r="U43" s="8">
        <v>21.48</v>
      </c>
      <c r="V43" s="9">
        <v>64.680000000000007</v>
      </c>
      <c r="W43" s="6" t="s">
        <v>84</v>
      </c>
      <c r="X43" s="6" t="s">
        <v>83</v>
      </c>
      <c r="Y43" s="12" t="s">
        <v>88</v>
      </c>
    </row>
    <row r="44" spans="1:25" s="11" customFormat="1" x14ac:dyDescent="0.25">
      <c r="A44" s="4" t="s">
        <v>19</v>
      </c>
      <c r="B44" s="4">
        <v>2019</v>
      </c>
      <c r="C44" s="4" t="s">
        <v>18</v>
      </c>
      <c r="D44" s="4" t="s">
        <v>17</v>
      </c>
      <c r="E44" s="4">
        <v>15</v>
      </c>
      <c r="F44" s="4">
        <v>1</v>
      </c>
      <c r="G44" s="5">
        <v>1</v>
      </c>
      <c r="H44" s="6">
        <v>26</v>
      </c>
      <c r="I44" s="6">
        <v>2</v>
      </c>
      <c r="J44" s="7">
        <v>24</v>
      </c>
      <c r="K44" s="6">
        <v>849.4</v>
      </c>
      <c r="L44" s="6">
        <v>17.8</v>
      </c>
      <c r="M44" s="6">
        <v>1.5</v>
      </c>
      <c r="N44" s="9">
        <v>35.104500000000002</v>
      </c>
      <c r="O44" s="9">
        <v>20.671200000000002</v>
      </c>
      <c r="P44" s="9">
        <f t="shared" si="0"/>
        <v>55.775700000000001</v>
      </c>
      <c r="Q44" s="3">
        <v>8.9600000000000009</v>
      </c>
      <c r="R44" s="3">
        <v>10.1</v>
      </c>
      <c r="S44" s="9"/>
      <c r="T44" s="8">
        <v>40.35</v>
      </c>
      <c r="U44" s="8">
        <v>23.76</v>
      </c>
      <c r="V44" s="9">
        <v>64.11</v>
      </c>
      <c r="W44" s="6" t="s">
        <v>82</v>
      </c>
      <c r="X44" s="6" t="s">
        <v>83</v>
      </c>
      <c r="Y44" s="12" t="s">
        <v>88</v>
      </c>
    </row>
    <row r="45" spans="1:25" s="11" customFormat="1" x14ac:dyDescent="0.25">
      <c r="A45" s="4" t="s">
        <v>19</v>
      </c>
      <c r="B45" s="4">
        <v>2019</v>
      </c>
      <c r="C45" s="4" t="s">
        <v>18</v>
      </c>
      <c r="D45" s="4" t="s">
        <v>17</v>
      </c>
      <c r="E45" s="4">
        <v>15</v>
      </c>
      <c r="F45" s="4">
        <v>2</v>
      </c>
      <c r="G45" s="5">
        <v>21</v>
      </c>
      <c r="H45" s="6">
        <v>28</v>
      </c>
      <c r="I45" s="6">
        <v>2.5</v>
      </c>
      <c r="J45" s="7">
        <v>29</v>
      </c>
      <c r="K45" s="6">
        <v>934</v>
      </c>
      <c r="L45" s="6">
        <v>18.7</v>
      </c>
      <c r="M45" s="6">
        <v>2</v>
      </c>
      <c r="N45" s="9">
        <v>35.113199999999999</v>
      </c>
      <c r="O45" s="9">
        <v>20.401499999999999</v>
      </c>
      <c r="P45" s="9">
        <f t="shared" si="0"/>
        <v>55.514699999999998</v>
      </c>
      <c r="Q45" s="3">
        <v>9.34</v>
      </c>
      <c r="R45" s="3">
        <v>11.52</v>
      </c>
      <c r="S45" s="9"/>
      <c r="T45" s="8">
        <v>40.36</v>
      </c>
      <c r="U45" s="8">
        <v>23.45</v>
      </c>
      <c r="V45" s="9">
        <v>63.81</v>
      </c>
      <c r="W45" s="6" t="s">
        <v>82</v>
      </c>
      <c r="X45" s="6" t="s">
        <v>83</v>
      </c>
      <c r="Y45" s="12" t="s">
        <v>88</v>
      </c>
    </row>
    <row r="46" spans="1:25" s="11" customFormat="1" x14ac:dyDescent="0.25">
      <c r="A46" s="4" t="s">
        <v>19</v>
      </c>
      <c r="B46" s="4">
        <v>2019</v>
      </c>
      <c r="C46" s="4" t="s">
        <v>18</v>
      </c>
      <c r="D46" s="4" t="s">
        <v>17</v>
      </c>
      <c r="E46" s="4">
        <v>15</v>
      </c>
      <c r="F46" s="4">
        <v>3</v>
      </c>
      <c r="G46" s="5">
        <v>48</v>
      </c>
      <c r="H46" s="7" t="s">
        <v>88</v>
      </c>
      <c r="I46" s="7" t="s">
        <v>88</v>
      </c>
      <c r="J46" s="7" t="s">
        <v>88</v>
      </c>
      <c r="K46" s="6">
        <v>655.4</v>
      </c>
      <c r="L46" s="6" t="s">
        <v>88</v>
      </c>
      <c r="M46" s="12" t="s">
        <v>88</v>
      </c>
      <c r="N46" s="9">
        <v>33.808199999999999</v>
      </c>
      <c r="O46" s="9">
        <v>20.967000000000002</v>
      </c>
      <c r="P46" s="9">
        <f t="shared" si="0"/>
        <v>54.775199999999998</v>
      </c>
      <c r="Q46" s="3">
        <v>8.58</v>
      </c>
      <c r="R46" s="3">
        <v>11.35</v>
      </c>
      <c r="S46" s="9"/>
      <c r="T46" s="8">
        <v>38.86</v>
      </c>
      <c r="U46" s="8">
        <v>24.1</v>
      </c>
      <c r="V46" s="9">
        <v>62.96</v>
      </c>
      <c r="W46" s="6" t="s">
        <v>82</v>
      </c>
      <c r="X46" s="6" t="s">
        <v>83</v>
      </c>
      <c r="Y46" s="12" t="s">
        <v>88</v>
      </c>
    </row>
    <row r="47" spans="1:25" s="11" customFormat="1" x14ac:dyDescent="0.25">
      <c r="A47" s="4" t="s">
        <v>19</v>
      </c>
      <c r="B47" s="4">
        <v>2019</v>
      </c>
      <c r="C47" s="4" t="s">
        <v>18</v>
      </c>
      <c r="D47" s="4" t="s">
        <v>21</v>
      </c>
      <c r="E47" s="4">
        <v>16</v>
      </c>
      <c r="F47" s="4">
        <v>1</v>
      </c>
      <c r="G47" s="5">
        <v>8</v>
      </c>
      <c r="H47" s="6">
        <v>28</v>
      </c>
      <c r="I47" s="6">
        <v>2</v>
      </c>
      <c r="J47" s="7">
        <v>31</v>
      </c>
      <c r="K47" s="6">
        <v>945.9</v>
      </c>
      <c r="L47" s="6">
        <v>16.2</v>
      </c>
      <c r="M47" s="6">
        <v>1</v>
      </c>
      <c r="N47" s="9">
        <v>38.245200000000004</v>
      </c>
      <c r="O47" s="9">
        <v>18.000299999999999</v>
      </c>
      <c r="P47" s="9">
        <f t="shared" si="0"/>
        <v>56.245500000000007</v>
      </c>
      <c r="Q47" s="3">
        <v>7.81</v>
      </c>
      <c r="R47" s="3">
        <v>23.39</v>
      </c>
      <c r="S47" s="9"/>
      <c r="T47" s="8">
        <v>43.96</v>
      </c>
      <c r="U47" s="8">
        <v>20.69</v>
      </c>
      <c r="V47" s="9">
        <v>64.650000000000006</v>
      </c>
      <c r="W47" s="6" t="s">
        <v>84</v>
      </c>
      <c r="X47" s="6" t="s">
        <v>83</v>
      </c>
      <c r="Y47" s="12" t="s">
        <v>88</v>
      </c>
    </row>
    <row r="48" spans="1:25" s="11" customFormat="1" x14ac:dyDescent="0.25">
      <c r="A48" s="4" t="s">
        <v>19</v>
      </c>
      <c r="B48" s="4">
        <v>2019</v>
      </c>
      <c r="C48" s="4" t="s">
        <v>18</v>
      </c>
      <c r="D48" s="4" t="s">
        <v>21</v>
      </c>
      <c r="E48" s="4">
        <v>16</v>
      </c>
      <c r="F48" s="4">
        <v>2</v>
      </c>
      <c r="G48" s="5">
        <v>29</v>
      </c>
      <c r="H48" s="6">
        <v>31</v>
      </c>
      <c r="I48" s="6">
        <v>2</v>
      </c>
      <c r="J48" s="7">
        <v>32</v>
      </c>
      <c r="K48" s="6">
        <v>939.6</v>
      </c>
      <c r="L48" s="6">
        <v>16.100000000000001</v>
      </c>
      <c r="M48" s="6">
        <v>1.5</v>
      </c>
      <c r="N48" s="9">
        <v>38.784599999999998</v>
      </c>
      <c r="O48" s="9">
        <v>18.148199999999999</v>
      </c>
      <c r="P48" s="9">
        <f t="shared" si="0"/>
        <v>56.9328</v>
      </c>
      <c r="Q48" s="3">
        <v>7.89</v>
      </c>
      <c r="R48" s="3">
        <v>24.56</v>
      </c>
      <c r="S48" s="9"/>
      <c r="T48" s="8">
        <v>44.58</v>
      </c>
      <c r="U48" s="8">
        <v>20.86</v>
      </c>
      <c r="V48" s="9">
        <v>65.44</v>
      </c>
      <c r="W48" s="6" t="s">
        <v>84</v>
      </c>
      <c r="X48" s="6" t="s">
        <v>83</v>
      </c>
      <c r="Y48" s="12" t="s">
        <v>88</v>
      </c>
    </row>
    <row r="49" spans="1:25" s="11" customFormat="1" x14ac:dyDescent="0.25">
      <c r="A49" s="4" t="s">
        <v>19</v>
      </c>
      <c r="B49" s="4">
        <v>2019</v>
      </c>
      <c r="C49" s="4" t="s">
        <v>18</v>
      </c>
      <c r="D49" s="4" t="s">
        <v>21</v>
      </c>
      <c r="E49" s="4">
        <v>16</v>
      </c>
      <c r="F49" s="4">
        <v>3</v>
      </c>
      <c r="G49" s="5">
        <v>39</v>
      </c>
      <c r="H49" s="7" t="s">
        <v>88</v>
      </c>
      <c r="I49" s="7" t="s">
        <v>88</v>
      </c>
      <c r="J49" s="7" t="s">
        <v>88</v>
      </c>
      <c r="K49" s="6">
        <v>1034.8</v>
      </c>
      <c r="L49" s="6" t="s">
        <v>88</v>
      </c>
      <c r="M49" s="12" t="s">
        <v>88</v>
      </c>
      <c r="N49" s="9">
        <v>36.748800000000003</v>
      </c>
      <c r="O49" s="9">
        <v>18.6876</v>
      </c>
      <c r="P49" s="9">
        <f t="shared" si="0"/>
        <v>55.436400000000006</v>
      </c>
      <c r="Q49" s="3">
        <v>8.32</v>
      </c>
      <c r="R49" s="3">
        <v>25.96</v>
      </c>
      <c r="S49" s="9"/>
      <c r="T49" s="8">
        <v>42.24</v>
      </c>
      <c r="U49" s="8">
        <v>21.48</v>
      </c>
      <c r="V49" s="9">
        <v>63.72</v>
      </c>
      <c r="W49" s="6" t="s">
        <v>84</v>
      </c>
      <c r="X49" s="6" t="s">
        <v>83</v>
      </c>
      <c r="Y49" s="12" t="s">
        <v>88</v>
      </c>
    </row>
    <row r="50" spans="1:25" x14ac:dyDescent="0.25">
      <c r="P50" s="9">
        <f t="shared" si="0"/>
        <v>0</v>
      </c>
      <c r="S50" s="9"/>
    </row>
    <row r="51" spans="1:25" x14ac:dyDescent="0.25">
      <c r="P51" s="9">
        <f t="shared" si="0"/>
        <v>0</v>
      </c>
      <c r="S51" s="9"/>
    </row>
    <row r="52" spans="1:25" x14ac:dyDescent="0.25">
      <c r="P52" s="9">
        <f t="shared" si="0"/>
        <v>0</v>
      </c>
      <c r="S52" s="9"/>
    </row>
    <row r="53" spans="1:25" x14ac:dyDescent="0.25">
      <c r="P53" s="9">
        <f t="shared" si="0"/>
        <v>0</v>
      </c>
      <c r="S53" s="9"/>
    </row>
    <row r="54" spans="1:25" x14ac:dyDescent="0.25">
      <c r="P54" s="9">
        <f t="shared" si="0"/>
        <v>0</v>
      </c>
      <c r="S54" s="9"/>
    </row>
    <row r="55" spans="1:25" x14ac:dyDescent="0.25">
      <c r="P55" s="9">
        <f t="shared" si="0"/>
        <v>0</v>
      </c>
      <c r="S55" s="9"/>
    </row>
    <row r="56" spans="1:25" x14ac:dyDescent="0.25">
      <c r="P56" s="9">
        <f t="shared" si="0"/>
        <v>0</v>
      </c>
      <c r="S56" s="9"/>
    </row>
    <row r="57" spans="1:25" x14ac:dyDescent="0.25">
      <c r="P57" s="9">
        <f t="shared" si="0"/>
        <v>0</v>
      </c>
      <c r="S57" s="9"/>
    </row>
    <row r="58" spans="1:25" x14ac:dyDescent="0.25">
      <c r="P58" s="9">
        <f t="shared" si="0"/>
        <v>0</v>
      </c>
      <c r="S58" s="9"/>
    </row>
    <row r="59" spans="1:25" x14ac:dyDescent="0.25">
      <c r="P59" s="9">
        <f t="shared" si="0"/>
        <v>0</v>
      </c>
      <c r="S59" s="9"/>
    </row>
    <row r="60" spans="1:25" x14ac:dyDescent="0.25">
      <c r="P60" s="9">
        <f t="shared" si="0"/>
        <v>0</v>
      </c>
      <c r="S60" s="9"/>
    </row>
    <row r="61" spans="1:25" x14ac:dyDescent="0.25">
      <c r="P61" s="9">
        <f t="shared" si="0"/>
        <v>0</v>
      </c>
      <c r="S61" s="9"/>
    </row>
    <row r="62" spans="1:25" x14ac:dyDescent="0.25">
      <c r="P62" s="9">
        <f t="shared" si="0"/>
        <v>0</v>
      </c>
      <c r="S62" s="9"/>
    </row>
    <row r="63" spans="1:25" x14ac:dyDescent="0.25">
      <c r="P63" s="9">
        <f t="shared" si="0"/>
        <v>0</v>
      </c>
      <c r="S63" s="9"/>
    </row>
    <row r="64" spans="1:25" x14ac:dyDescent="0.25">
      <c r="P64" s="9">
        <f t="shared" si="0"/>
        <v>0</v>
      </c>
      <c r="S64" s="9"/>
    </row>
    <row r="65" spans="16:19" x14ac:dyDescent="0.25">
      <c r="P65" s="9">
        <f t="shared" si="0"/>
        <v>0</v>
      </c>
      <c r="S65" s="9"/>
    </row>
    <row r="66" spans="16:19" x14ac:dyDescent="0.25">
      <c r="P66" s="9">
        <f t="shared" si="0"/>
        <v>0</v>
      </c>
      <c r="S66" s="9"/>
    </row>
    <row r="67" spans="16:19" x14ac:dyDescent="0.25">
      <c r="P67" s="9">
        <f t="shared" ref="P67:P130" si="1">N67+O67</f>
        <v>0</v>
      </c>
      <c r="S67" s="9"/>
    </row>
    <row r="68" spans="16:19" x14ac:dyDescent="0.25">
      <c r="P68" s="9">
        <f t="shared" si="1"/>
        <v>0</v>
      </c>
      <c r="S68" s="9"/>
    </row>
    <row r="69" spans="16:19" x14ac:dyDescent="0.25">
      <c r="P69" s="9">
        <f t="shared" si="1"/>
        <v>0</v>
      </c>
      <c r="S69" s="9"/>
    </row>
    <row r="70" spans="16:19" x14ac:dyDescent="0.25">
      <c r="P70" s="9">
        <f t="shared" si="1"/>
        <v>0</v>
      </c>
      <c r="S70" s="9"/>
    </row>
    <row r="71" spans="16:19" x14ac:dyDescent="0.25">
      <c r="P71" s="9">
        <f t="shared" si="1"/>
        <v>0</v>
      </c>
      <c r="S71" s="9"/>
    </row>
    <row r="72" spans="16:19" x14ac:dyDescent="0.25">
      <c r="P72" s="9">
        <f t="shared" si="1"/>
        <v>0</v>
      </c>
      <c r="S72" s="9"/>
    </row>
    <row r="73" spans="16:19" x14ac:dyDescent="0.25">
      <c r="P73" s="9">
        <f t="shared" si="1"/>
        <v>0</v>
      </c>
      <c r="S73" s="9"/>
    </row>
    <row r="74" spans="16:19" x14ac:dyDescent="0.25">
      <c r="P74" s="9">
        <f t="shared" si="1"/>
        <v>0</v>
      </c>
      <c r="S74" s="9"/>
    </row>
    <row r="75" spans="16:19" x14ac:dyDescent="0.25">
      <c r="P75" s="9">
        <f t="shared" si="1"/>
        <v>0</v>
      </c>
      <c r="S75" s="9"/>
    </row>
    <row r="76" spans="16:19" x14ac:dyDescent="0.25">
      <c r="P76" s="9">
        <f t="shared" si="1"/>
        <v>0</v>
      </c>
      <c r="S76" s="9"/>
    </row>
    <row r="77" spans="16:19" x14ac:dyDescent="0.25">
      <c r="P77" s="9">
        <f t="shared" si="1"/>
        <v>0</v>
      </c>
      <c r="S77" s="9"/>
    </row>
    <row r="78" spans="16:19" x14ac:dyDescent="0.25">
      <c r="P78" s="9">
        <f t="shared" si="1"/>
        <v>0</v>
      </c>
      <c r="S78" s="9"/>
    </row>
    <row r="79" spans="16:19" x14ac:dyDescent="0.25">
      <c r="P79" s="9">
        <f t="shared" si="1"/>
        <v>0</v>
      </c>
      <c r="S79" s="9"/>
    </row>
    <row r="80" spans="16:19" x14ac:dyDescent="0.25">
      <c r="P80" s="9">
        <f t="shared" si="1"/>
        <v>0</v>
      </c>
      <c r="S80" s="9"/>
    </row>
    <row r="81" spans="16:19" x14ac:dyDescent="0.25">
      <c r="P81" s="9">
        <f t="shared" si="1"/>
        <v>0</v>
      </c>
      <c r="S81" s="9"/>
    </row>
    <row r="82" spans="16:19" x14ac:dyDescent="0.25">
      <c r="P82" s="9">
        <f t="shared" si="1"/>
        <v>0</v>
      </c>
      <c r="S82" s="9"/>
    </row>
    <row r="83" spans="16:19" x14ac:dyDescent="0.25">
      <c r="P83" s="9">
        <f t="shared" si="1"/>
        <v>0</v>
      </c>
      <c r="S83" s="9"/>
    </row>
    <row r="84" spans="16:19" x14ac:dyDescent="0.25">
      <c r="P84" s="9">
        <f t="shared" si="1"/>
        <v>0</v>
      </c>
      <c r="S84" s="9"/>
    </row>
    <row r="85" spans="16:19" x14ac:dyDescent="0.25">
      <c r="P85" s="9">
        <f t="shared" si="1"/>
        <v>0</v>
      </c>
      <c r="S85" s="9"/>
    </row>
    <row r="86" spans="16:19" x14ac:dyDescent="0.25">
      <c r="P86" s="9">
        <f t="shared" si="1"/>
        <v>0</v>
      </c>
      <c r="S86" s="9"/>
    </row>
    <row r="87" spans="16:19" x14ac:dyDescent="0.25">
      <c r="P87" s="9">
        <f t="shared" si="1"/>
        <v>0</v>
      </c>
      <c r="S87" s="9"/>
    </row>
    <row r="88" spans="16:19" x14ac:dyDescent="0.25">
      <c r="P88" s="9">
        <f t="shared" si="1"/>
        <v>0</v>
      </c>
      <c r="S88" s="9"/>
    </row>
    <row r="89" spans="16:19" x14ac:dyDescent="0.25">
      <c r="P89" s="9">
        <f t="shared" si="1"/>
        <v>0</v>
      </c>
      <c r="S89" s="9"/>
    </row>
    <row r="90" spans="16:19" x14ac:dyDescent="0.25">
      <c r="P90" s="9">
        <f t="shared" si="1"/>
        <v>0</v>
      </c>
      <c r="S90" s="9"/>
    </row>
    <row r="91" spans="16:19" x14ac:dyDescent="0.25">
      <c r="P91" s="9">
        <f t="shared" si="1"/>
        <v>0</v>
      </c>
      <c r="S91" s="9"/>
    </row>
    <row r="92" spans="16:19" x14ac:dyDescent="0.25">
      <c r="P92" s="9">
        <f t="shared" si="1"/>
        <v>0</v>
      </c>
      <c r="S92" s="9"/>
    </row>
    <row r="93" spans="16:19" x14ac:dyDescent="0.25">
      <c r="P93" s="9">
        <f t="shared" si="1"/>
        <v>0</v>
      </c>
      <c r="S93" s="9"/>
    </row>
    <row r="94" spans="16:19" x14ac:dyDescent="0.25">
      <c r="P94" s="9">
        <f t="shared" si="1"/>
        <v>0</v>
      </c>
      <c r="S94" s="9"/>
    </row>
    <row r="95" spans="16:19" x14ac:dyDescent="0.25">
      <c r="P95" s="9">
        <f t="shared" si="1"/>
        <v>0</v>
      </c>
      <c r="S95" s="9"/>
    </row>
    <row r="96" spans="16:19" x14ac:dyDescent="0.25">
      <c r="P96" s="9">
        <f t="shared" si="1"/>
        <v>0</v>
      </c>
      <c r="S96" s="9"/>
    </row>
    <row r="97" spans="16:19" x14ac:dyDescent="0.25">
      <c r="P97" s="9">
        <f t="shared" si="1"/>
        <v>0</v>
      </c>
      <c r="S97" s="9"/>
    </row>
    <row r="98" spans="16:19" x14ac:dyDescent="0.25">
      <c r="P98" s="9">
        <f t="shared" si="1"/>
        <v>0</v>
      </c>
      <c r="S98" s="9"/>
    </row>
    <row r="99" spans="16:19" x14ac:dyDescent="0.25">
      <c r="P99" s="9">
        <f t="shared" si="1"/>
        <v>0</v>
      </c>
      <c r="S99" s="9"/>
    </row>
    <row r="100" spans="16:19" x14ac:dyDescent="0.25">
      <c r="P100" s="9">
        <f t="shared" si="1"/>
        <v>0</v>
      </c>
      <c r="S100" s="9"/>
    </row>
    <row r="101" spans="16:19" x14ac:dyDescent="0.25">
      <c r="P101" s="9">
        <f t="shared" si="1"/>
        <v>0</v>
      </c>
      <c r="S101" s="9"/>
    </row>
    <row r="102" spans="16:19" x14ac:dyDescent="0.25">
      <c r="P102" s="9">
        <f t="shared" si="1"/>
        <v>0</v>
      </c>
      <c r="S102" s="9"/>
    </row>
    <row r="103" spans="16:19" x14ac:dyDescent="0.25">
      <c r="P103" s="9">
        <f t="shared" si="1"/>
        <v>0</v>
      </c>
      <c r="S103" s="9"/>
    </row>
    <row r="104" spans="16:19" x14ac:dyDescent="0.25">
      <c r="P104" s="9">
        <f t="shared" si="1"/>
        <v>0</v>
      </c>
      <c r="S104" s="9"/>
    </row>
    <row r="105" spans="16:19" x14ac:dyDescent="0.25">
      <c r="P105" s="9">
        <f t="shared" si="1"/>
        <v>0</v>
      </c>
      <c r="S105" s="9"/>
    </row>
    <row r="106" spans="16:19" x14ac:dyDescent="0.25">
      <c r="P106" s="9">
        <f t="shared" si="1"/>
        <v>0</v>
      </c>
      <c r="S106" s="9"/>
    </row>
    <row r="107" spans="16:19" x14ac:dyDescent="0.25">
      <c r="P107" s="9">
        <f t="shared" si="1"/>
        <v>0</v>
      </c>
      <c r="S107" s="9"/>
    </row>
    <row r="108" spans="16:19" x14ac:dyDescent="0.25">
      <c r="P108" s="9">
        <f t="shared" si="1"/>
        <v>0</v>
      </c>
      <c r="S108" s="9"/>
    </row>
    <row r="109" spans="16:19" x14ac:dyDescent="0.25">
      <c r="P109" s="9">
        <f t="shared" si="1"/>
        <v>0</v>
      </c>
      <c r="S109" s="9"/>
    </row>
    <row r="110" spans="16:19" x14ac:dyDescent="0.25">
      <c r="P110" s="9">
        <f t="shared" si="1"/>
        <v>0</v>
      </c>
      <c r="S110" s="9"/>
    </row>
    <row r="111" spans="16:19" x14ac:dyDescent="0.25">
      <c r="P111" s="9">
        <f t="shared" si="1"/>
        <v>0</v>
      </c>
      <c r="S111" s="9"/>
    </row>
    <row r="112" spans="16:19" x14ac:dyDescent="0.25">
      <c r="P112" s="9">
        <f t="shared" si="1"/>
        <v>0</v>
      </c>
      <c r="S112" s="9"/>
    </row>
    <row r="113" spans="16:19" x14ac:dyDescent="0.25">
      <c r="P113" s="9">
        <f t="shared" si="1"/>
        <v>0</v>
      </c>
      <c r="S113" s="9"/>
    </row>
    <row r="114" spans="16:19" x14ac:dyDescent="0.25">
      <c r="P114" s="9">
        <f t="shared" si="1"/>
        <v>0</v>
      </c>
      <c r="S114" s="9"/>
    </row>
    <row r="115" spans="16:19" x14ac:dyDescent="0.25">
      <c r="P115" s="9">
        <f t="shared" si="1"/>
        <v>0</v>
      </c>
      <c r="S115" s="9"/>
    </row>
    <row r="116" spans="16:19" x14ac:dyDescent="0.25">
      <c r="P116" s="9">
        <f t="shared" si="1"/>
        <v>0</v>
      </c>
      <c r="S116" s="9"/>
    </row>
    <row r="117" spans="16:19" x14ac:dyDescent="0.25">
      <c r="P117" s="9">
        <f t="shared" si="1"/>
        <v>0</v>
      </c>
      <c r="S117" s="9"/>
    </row>
    <row r="118" spans="16:19" x14ac:dyDescent="0.25">
      <c r="P118" s="9">
        <f t="shared" si="1"/>
        <v>0</v>
      </c>
      <c r="S118" s="9"/>
    </row>
    <row r="119" spans="16:19" x14ac:dyDescent="0.25">
      <c r="P119" s="9">
        <f t="shared" si="1"/>
        <v>0</v>
      </c>
      <c r="S119" s="9"/>
    </row>
    <row r="120" spans="16:19" x14ac:dyDescent="0.25">
      <c r="P120" s="9">
        <f t="shared" si="1"/>
        <v>0</v>
      </c>
      <c r="S120" s="9"/>
    </row>
    <row r="121" spans="16:19" x14ac:dyDescent="0.25">
      <c r="P121" s="9">
        <f t="shared" si="1"/>
        <v>0</v>
      </c>
      <c r="S121" s="9"/>
    </row>
    <row r="122" spans="16:19" x14ac:dyDescent="0.25">
      <c r="P122" s="9">
        <f t="shared" si="1"/>
        <v>0</v>
      </c>
      <c r="S122" s="9"/>
    </row>
    <row r="123" spans="16:19" x14ac:dyDescent="0.25">
      <c r="P123" s="9">
        <f t="shared" si="1"/>
        <v>0</v>
      </c>
      <c r="S123" s="9"/>
    </row>
    <row r="124" spans="16:19" x14ac:dyDescent="0.25">
      <c r="P124" s="9">
        <f t="shared" si="1"/>
        <v>0</v>
      </c>
      <c r="S124" s="9"/>
    </row>
    <row r="125" spans="16:19" x14ac:dyDescent="0.25">
      <c r="P125" s="9">
        <f t="shared" si="1"/>
        <v>0</v>
      </c>
      <c r="S125" s="9"/>
    </row>
    <row r="126" spans="16:19" x14ac:dyDescent="0.25">
      <c r="P126" s="9">
        <f t="shared" si="1"/>
        <v>0</v>
      </c>
      <c r="S126" s="9"/>
    </row>
    <row r="127" spans="16:19" x14ac:dyDescent="0.25">
      <c r="P127" s="9">
        <f t="shared" si="1"/>
        <v>0</v>
      </c>
      <c r="S127" s="9"/>
    </row>
    <row r="128" spans="16:19" x14ac:dyDescent="0.25">
      <c r="P128" s="9">
        <f t="shared" si="1"/>
        <v>0</v>
      </c>
      <c r="S128" s="9"/>
    </row>
    <row r="129" spans="16:19" x14ac:dyDescent="0.25">
      <c r="P129" s="9">
        <f t="shared" si="1"/>
        <v>0</v>
      </c>
      <c r="S129" s="9"/>
    </row>
    <row r="130" spans="16:19" x14ac:dyDescent="0.25">
      <c r="P130" s="9">
        <f t="shared" si="1"/>
        <v>0</v>
      </c>
      <c r="S130" s="9"/>
    </row>
    <row r="131" spans="16:19" x14ac:dyDescent="0.25">
      <c r="P131" s="9">
        <f t="shared" ref="P131:P151" si="2">N131+O131</f>
        <v>0</v>
      </c>
      <c r="S131" s="9"/>
    </row>
    <row r="132" spans="16:19" x14ac:dyDescent="0.25">
      <c r="P132" s="9">
        <f t="shared" si="2"/>
        <v>0</v>
      </c>
      <c r="S132" s="9"/>
    </row>
    <row r="133" spans="16:19" x14ac:dyDescent="0.25">
      <c r="P133" s="9">
        <f t="shared" si="2"/>
        <v>0</v>
      </c>
      <c r="S133" s="9"/>
    </row>
    <row r="134" spans="16:19" x14ac:dyDescent="0.25">
      <c r="P134" s="9">
        <f t="shared" si="2"/>
        <v>0</v>
      </c>
      <c r="S134" s="9"/>
    </row>
    <row r="135" spans="16:19" x14ac:dyDescent="0.25">
      <c r="P135" s="9">
        <f t="shared" si="2"/>
        <v>0</v>
      </c>
      <c r="S135" s="9"/>
    </row>
    <row r="136" spans="16:19" x14ac:dyDescent="0.25">
      <c r="P136" s="9">
        <f t="shared" si="2"/>
        <v>0</v>
      </c>
      <c r="S136" s="9"/>
    </row>
    <row r="137" spans="16:19" x14ac:dyDescent="0.25">
      <c r="P137" s="9">
        <f t="shared" si="2"/>
        <v>0</v>
      </c>
      <c r="S137" s="9"/>
    </row>
    <row r="138" spans="16:19" x14ac:dyDescent="0.25">
      <c r="P138" s="9">
        <f t="shared" si="2"/>
        <v>0</v>
      </c>
      <c r="S138" s="9"/>
    </row>
    <row r="139" spans="16:19" x14ac:dyDescent="0.25">
      <c r="P139" s="9">
        <f t="shared" si="2"/>
        <v>0</v>
      </c>
      <c r="S139" s="9"/>
    </row>
    <row r="140" spans="16:19" x14ac:dyDescent="0.25">
      <c r="P140" s="9">
        <f t="shared" si="2"/>
        <v>0</v>
      </c>
      <c r="S140" s="9"/>
    </row>
    <row r="141" spans="16:19" x14ac:dyDescent="0.25">
      <c r="P141" s="9">
        <f t="shared" si="2"/>
        <v>0</v>
      </c>
      <c r="S141" s="9"/>
    </row>
    <row r="142" spans="16:19" x14ac:dyDescent="0.25">
      <c r="P142" s="9">
        <f t="shared" si="2"/>
        <v>0</v>
      </c>
      <c r="S142" s="9"/>
    </row>
    <row r="143" spans="16:19" x14ac:dyDescent="0.25">
      <c r="P143" s="9">
        <f t="shared" si="2"/>
        <v>0</v>
      </c>
      <c r="S143" s="9"/>
    </row>
    <row r="144" spans="16:19" x14ac:dyDescent="0.25">
      <c r="P144" s="9">
        <f t="shared" si="2"/>
        <v>0</v>
      </c>
      <c r="S144" s="9"/>
    </row>
    <row r="145" spans="16:19" x14ac:dyDescent="0.25">
      <c r="P145" s="9">
        <f t="shared" si="2"/>
        <v>0</v>
      </c>
      <c r="S145" s="9"/>
    </row>
    <row r="146" spans="16:19" x14ac:dyDescent="0.25">
      <c r="P146" s="9">
        <f t="shared" si="2"/>
        <v>0</v>
      </c>
      <c r="S146" s="9"/>
    </row>
    <row r="147" spans="16:19" x14ac:dyDescent="0.25">
      <c r="P147" s="9">
        <f t="shared" si="2"/>
        <v>0</v>
      </c>
      <c r="S147" s="9"/>
    </row>
    <row r="148" spans="16:19" x14ac:dyDescent="0.25">
      <c r="P148" s="9">
        <f t="shared" si="2"/>
        <v>0</v>
      </c>
      <c r="S148" s="9"/>
    </row>
    <row r="149" spans="16:19" x14ac:dyDescent="0.25">
      <c r="P149" s="9">
        <f t="shared" si="2"/>
        <v>0</v>
      </c>
      <c r="S149" s="9"/>
    </row>
    <row r="150" spans="16:19" x14ac:dyDescent="0.25">
      <c r="P150" s="9">
        <f t="shared" si="2"/>
        <v>0</v>
      </c>
      <c r="S150" s="9"/>
    </row>
    <row r="151" spans="16:19" x14ac:dyDescent="0.25">
      <c r="P151" s="9">
        <f t="shared" si="2"/>
        <v>0</v>
      </c>
      <c r="S151" s="9"/>
    </row>
  </sheetData>
  <conditionalFormatting sqref="I2:I33 A2:H49 I34:J34 K2:S2 V2:Y49 K3:O49 P3:S151">
    <cfRule type="expression" dxfId="2" priority="3">
      <formula>MOD(ROW(),2)</formula>
    </cfRule>
  </conditionalFormatting>
  <conditionalFormatting sqref="I35:J49">
    <cfRule type="expression" dxfId="1" priority="2">
      <formula>MOD(ROW(),2)</formula>
    </cfRule>
  </conditionalFormatting>
  <conditionalFormatting sqref="J2:J33">
    <cfRule type="expression" dxfId="0" priority="1">
      <formula>MOD(ROW(),2)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3" r:id="rId4" name="cmdRun">
          <controlPr defaultSize="0" print="0" autoLine="0" r:id="rId5">
            <anchor moveWithCells="1">
              <from>
                <xdr:col>25</xdr:col>
                <xdr:colOff>0</xdr:colOff>
                <xdr:row>1</xdr:row>
                <xdr:rowOff>9525</xdr:rowOff>
              </from>
              <to>
                <xdr:col>27</xdr:col>
                <xdr:colOff>342900</xdr:colOff>
                <xdr:row>3</xdr:row>
                <xdr:rowOff>95250</xdr:rowOff>
              </to>
            </anchor>
          </controlPr>
        </control>
      </mc:Choice>
      <mc:Fallback>
        <control shapeId="3073" r:id="rId4" name="cmd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SAS Ready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huie</dc:creator>
  <cp:lastModifiedBy>Tiffany Rochelle Sikes</cp:lastModifiedBy>
  <dcterms:created xsi:type="dcterms:W3CDTF">2011-09-02T14:49:08Z</dcterms:created>
  <dcterms:modified xsi:type="dcterms:W3CDTF">2020-01-16T12:30:06Z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96 96 1920 1200</vt:lpwstr>
  </property>
</Properties>
</file>