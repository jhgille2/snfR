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EC7FFB73-A56F-4742-9E4E-8B5FACCC36C0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2" i="1"/>
</calcChain>
</file>

<file path=xl/sharedStrings.xml><?xml version="1.0" encoding="utf-8"?>
<sst xmlns="http://schemas.openxmlformats.org/spreadsheetml/2006/main" count="2496" uniqueCount="243">
  <si>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</si>
  <si>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</si>
  <si>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</si>
  <si>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</si>
  <si>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</si>
  <si>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</si>
  <si>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</si>
  <si>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</si>
  <si>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</si>
  <si>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</si>
  <si>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</si>
  <si>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</si>
  <si>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</si>
  <si>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</si>
  <si>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</si>
  <si>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</si>
  <si>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1*N18-513*LP 5 Early*Cla*2019*33</t>
  </si>
  <si>
    <t>N18-513</t>
  </si>
  <si>
    <t>Cla</t>
  </si>
  <si>
    <t>LP 5 Early</t>
  </si>
  <si>
    <t>51*TN11-5102*LP 5 Early*Cla*2019*50</t>
  </si>
  <si>
    <t>TN11-5102</t>
  </si>
  <si>
    <t>101*N18-446*LP 5 Early*Cla*2019*29</t>
  </si>
  <si>
    <t>N18-446</t>
  </si>
  <si>
    <t>10*N18-292*LP 5 Early*Cla*2019*13</t>
  </si>
  <si>
    <t>N18-292</t>
  </si>
  <si>
    <t>60*N18-189*LP 5 Early*Cla*2019*4</t>
  </si>
  <si>
    <t>N18-189</t>
  </si>
  <si>
    <t>110*N18-178*LP 5 Early*Cla*2019*3</t>
  </si>
  <si>
    <t>N18-178</t>
  </si>
  <si>
    <t>11*N18-494*LP 5 Early*Cla*2019*32</t>
  </si>
  <si>
    <t>N18-494</t>
  </si>
  <si>
    <t>61*N18-609*LP 5 Early*Cla*2019*40</t>
  </si>
  <si>
    <t>N18-609</t>
  </si>
  <si>
    <t>111*N18-287*LP 5 Early*Cla*2019*12</t>
  </si>
  <si>
    <t>N18-287</t>
  </si>
  <si>
    <t>20*N18-354*LP 5 Early*Cla*2019*23</t>
  </si>
  <si>
    <t>N18-354</t>
  </si>
  <si>
    <t>70*N18-1070*LP 5 Early*Cla*2019*47</t>
  </si>
  <si>
    <t>N18-1070</t>
  </si>
  <si>
    <t>120*N18-494*LP 5 Early*Cla*2019*32</t>
  </si>
  <si>
    <t>21*N18-548*LP 5 Early*Cla*2019*38</t>
  </si>
  <si>
    <t>N18-548</t>
  </si>
  <si>
    <t>71*N18-406*LP 5 Early*Cla*2019*24</t>
  </si>
  <si>
    <t>N18-406</t>
  </si>
  <si>
    <t>121*N18-333*LP 5 Early*Cla*2019*20</t>
  </si>
  <si>
    <t>N18-333</t>
  </si>
  <si>
    <t>30*N18-514*LP 5 Early*Cla*2019*34</t>
  </si>
  <si>
    <t>N18-514</t>
  </si>
  <si>
    <t>80*N18-779*LP 5 Early*Cla*2019*42</t>
  </si>
  <si>
    <t>N18-779</t>
  </si>
  <si>
    <t>130*N18-354*LP 5 Early*Cla*2019*23</t>
  </si>
  <si>
    <t>31*N18-225*LP 5 Early*Cla*2019*5</t>
  </si>
  <si>
    <t>N18-225</t>
  </si>
  <si>
    <t>81*N18-789*LP 5 Early*Cla*2019*43</t>
  </si>
  <si>
    <t>N18-789</t>
  </si>
  <si>
    <t>131*N18-353*LP 5 Early*Cla*2019*22</t>
  </si>
  <si>
    <t>N18-353</t>
  </si>
  <si>
    <t>40*N18-1070*LP 5 Early*Cla*2019*47</t>
  </si>
  <si>
    <t>90*N18-492*LP 5 Early*Cla*2019*31</t>
  </si>
  <si>
    <t>N18-492</t>
  </si>
  <si>
    <t>140*N18-909*LP 5 Early*Cla*2019*45</t>
  </si>
  <si>
    <t>N18-909</t>
  </si>
  <si>
    <t>41*N18-323*LP 5 Early*Cla*2019*18</t>
  </si>
  <si>
    <t>N18-323</t>
  </si>
  <si>
    <t>91*N18-175*LP 5 Early*Cla*2019*2</t>
  </si>
  <si>
    <t>N18-175</t>
  </si>
  <si>
    <t>141*N18-245*LP 5 Early*Cla*2019*8</t>
  </si>
  <si>
    <t>N18-245</t>
  </si>
  <si>
    <t>50*N18-326*LP 5 Early*Cla*2019*19</t>
  </si>
  <si>
    <t>N18-326</t>
  </si>
  <si>
    <t>100*N18-446*LP 5 Early*Cla*2019*29</t>
  </si>
  <si>
    <t>150*N18-225*LP 5 Early*Cla*2019*5</t>
  </si>
  <si>
    <t>149*Ellis*LP 5 Early*Cla*2019*48</t>
  </si>
  <si>
    <t>Ellis</t>
  </si>
  <si>
    <t>99*N18-967*LP 5 Early*Cla*2019*46</t>
  </si>
  <si>
    <t>N18-967</t>
  </si>
  <si>
    <t>49*N18-163*LP 5 Early*Cla*2019*1</t>
  </si>
  <si>
    <t>N18-163</t>
  </si>
  <si>
    <t>142*N18-452*LP 5 Early*Cla*2019*30</t>
  </si>
  <si>
    <t>N18-452</t>
  </si>
  <si>
    <t>92*N18-286*LP 5 Early*Cla*2019*11</t>
  </si>
  <si>
    <t>N18-286</t>
  </si>
  <si>
    <t>42*N18-672*LP 5 Early*Cla*2019*41</t>
  </si>
  <si>
    <t>N18-672</t>
  </si>
  <si>
    <t>139*N18-323*LP 5 Early*Cla*2019*18</t>
  </si>
  <si>
    <t>89*Ellis*LP 5 Early*Cla*2019*48</t>
  </si>
  <si>
    <t>39*N18-245*LP 5 Early*Cla*2019*8</t>
  </si>
  <si>
    <t>132*N18-308*LP 5 Early*Cla*2019*15</t>
  </si>
  <si>
    <t>N18-308</t>
  </si>
  <si>
    <t>82*N18-282*LP 5 Early*Cla*2019*9</t>
  </si>
  <si>
    <t>N18-282</t>
  </si>
  <si>
    <t>32*N18-515*LP 5 Early*Cla*2019*35</t>
  </si>
  <si>
    <t>N18-515</t>
  </si>
  <si>
    <t>129*N18-513*LP 5 Early*Cla*2019*33</t>
  </si>
  <si>
    <t>79*N18-287*LP 5 Early*Cla*2019*12</t>
  </si>
  <si>
    <t>29*Ellis*LP 5 Early*Cla*2019*48</t>
  </si>
  <si>
    <t>122*N18-1070*LP 5 Early*Cla*2019*47</t>
  </si>
  <si>
    <t>72*N18-225*LP 5 Early*Cla*2019*5</t>
  </si>
  <si>
    <t>22*N18-175*LP 5 Early*Cla*2019*2</t>
  </si>
  <si>
    <t>119*N18-189*LP 5 Early*Cla*2019*4</t>
  </si>
  <si>
    <t>69*N18-415*LP 5 Early*Cla*2019*26</t>
  </si>
  <si>
    <t>N18-415</t>
  </si>
  <si>
    <t>19*N18-353*LP 5 Early*Cla*2019*22</t>
  </si>
  <si>
    <t>112*N18-559*LP 5 Early*Cla*2019*39</t>
  </si>
  <si>
    <t>N18-559</t>
  </si>
  <si>
    <t>62*N18-909*LP 5 Early*Cla*2019*45</t>
  </si>
  <si>
    <t>12*N18-311*LP 5 Early*Cla*2019*16</t>
  </si>
  <si>
    <t>N18-311</t>
  </si>
  <si>
    <t>109*N18-798*LP 5 Early*Cla*2019*44</t>
  </si>
  <si>
    <t>N18-798</t>
  </si>
  <si>
    <t>59*N18-312*LP 5 Early*Cla*2019*17</t>
  </si>
  <si>
    <t>N18-312</t>
  </si>
  <si>
    <t>9*N18-312*LP 5 Early*Cla*2019*17</t>
  </si>
  <si>
    <t>102*N18-672*LP 5 Early*Cla*2019*41</t>
  </si>
  <si>
    <t>52*N18-494*LP 5 Early*Cla*2019*32</t>
  </si>
  <si>
    <t>2*N18-286*LP 5 Early*Cla*2019*11</t>
  </si>
  <si>
    <t>3*N18-282*LP 5 Early*Cla*2019*9</t>
  </si>
  <si>
    <t>53*Osage*LP 5 Early*Cla*2019*49</t>
  </si>
  <si>
    <t>Osage</t>
  </si>
  <si>
    <t>103*N18-175*LP 5 Early*Cla*2019*2</t>
  </si>
  <si>
    <t>8*N18-798*LP 5 Early*Cla*2019*44</t>
  </si>
  <si>
    <t>58*N18-296*LP 5 Early*Cla*2019*14</t>
  </si>
  <si>
    <t>N18-296</t>
  </si>
  <si>
    <t>108*N18-311*LP 5 Early*Cla*2019*16</t>
  </si>
  <si>
    <t>13*N18-296*LP 5 Early*Cla*2019*14</t>
  </si>
  <si>
    <t>63*N18-513*LP 5 Early*Cla*2019*33</t>
  </si>
  <si>
    <t>113*N18-609*LP 5 Early*Cla*2019*40</t>
  </si>
  <si>
    <t>18*N18-189*LP 5 Early*Cla*2019*4</t>
  </si>
  <si>
    <t>68*N18-245*LP 5 Early*Cla*2019*8</t>
  </si>
  <si>
    <t>118*N18-292*LP 5 Early*Cla*2019*13</t>
  </si>
  <si>
    <t>23*N18-609*LP 5 Early*Cla*2019*40</t>
  </si>
  <si>
    <t>73*N18-285*LP 5 Early*Cla*2019*10</t>
  </si>
  <si>
    <t>N18-285</t>
  </si>
  <si>
    <t>123*Osage*LP 5 Early*Cla*2019*49</t>
  </si>
  <si>
    <t>28*N18-428*LP 5 Early*Cla*2019*27</t>
  </si>
  <si>
    <t>N18-428</t>
  </si>
  <si>
    <t>78*N18-237*LP 5 Early*Cla*2019*7</t>
  </si>
  <si>
    <t>N18-237</t>
  </si>
  <si>
    <t>128*N18-534*LP 5 Early*Cla*2019*37</t>
  </si>
  <si>
    <t>N18-534</t>
  </si>
  <si>
    <t>33*N18-333*LP 5 Early*Cla*2019*20</t>
  </si>
  <si>
    <t>83*N18-428*LP 5 Early*Cla*2019*27</t>
  </si>
  <si>
    <t>133*N18-428*LP 5 Early*Cla*2019*27</t>
  </si>
  <si>
    <t>38*N18-237*LP 5 Early*Cla*2019*7</t>
  </si>
  <si>
    <t>88*N18-326*LP 5 Early*Cla*2019*19</t>
  </si>
  <si>
    <t>138*N18-326*LP 5 Early*Cla*2019*19</t>
  </si>
  <si>
    <t>43*N18-909*LP 5 Early*Cla*2019*45</t>
  </si>
  <si>
    <t>93*N18-515*LP 5 Early*Cla*2019*35</t>
  </si>
  <si>
    <t>143*N18-967*LP 5 Early*Cla*2019*46</t>
  </si>
  <si>
    <t>48*N18-308*LP 5 Early*Cla*2019*15</t>
  </si>
  <si>
    <t>98*N18-534*LP 5 Early*Cla*2019*37</t>
  </si>
  <si>
    <t>148*N18-409*LP 5 Early*Cla*2019*25</t>
  </si>
  <si>
    <t>N18-409</t>
  </si>
  <si>
    <t>147*N18-296*LP 5 Early*Cla*2019*14</t>
  </si>
  <si>
    <t>97*N18-429*LP 5 Early*Cla*2019*28</t>
  </si>
  <si>
    <t>N18-429</t>
  </si>
  <si>
    <t>47*N18-178*LP 5 Early*Cla*2019*3</t>
  </si>
  <si>
    <t>144*N18-789*LP 5 Early*Cla*2019*43</t>
  </si>
  <si>
    <t>94*N18-311*LP 5 Early*Cla*2019*16</t>
  </si>
  <si>
    <t>44*N18-534*LP 5 Early*Cla*2019*37</t>
  </si>
  <si>
    <t>137*N18-548*LP 5 Early*Cla*2019*38</t>
  </si>
  <si>
    <t>87*N18-518*LP 5 Early*Cla*2019*36</t>
  </si>
  <si>
    <t>N18-518</t>
  </si>
  <si>
    <t>37*N18-415*LP 5 Early*Cla*2019*26</t>
  </si>
  <si>
    <t>134*N18-285*LP 5 Early*Cla*2019*10</t>
  </si>
  <si>
    <t>84*N18-548*LP 5 Early*Cla*2019*38</t>
  </si>
  <si>
    <t>34*N18-518*LP 5 Early*Cla*2019*36</t>
  </si>
  <si>
    <t>127*N18-345*LP 5 Early*Cla*2019*21</t>
  </si>
  <si>
    <t>N18-345</t>
  </si>
  <si>
    <t>77*N18-672*LP 5 Early*Cla*2019*41</t>
  </si>
  <si>
    <t>27*TN11-5102*LP 5 Early*Cla*2019*50</t>
  </si>
  <si>
    <t>124*N18-779*LP 5 Early*Cla*2019*42</t>
  </si>
  <si>
    <t>74*N18-292*LP 5 Early*Cla*2019*13</t>
  </si>
  <si>
    <t>24*N18-406*LP 5 Early*Cla*2019*24</t>
  </si>
  <si>
    <t>117*N18-514*LP 5 Early*Cla*2019*34</t>
  </si>
  <si>
    <t>67*N18-333*LP 5 Early*Cla*2019*20</t>
  </si>
  <si>
    <t>17*N18-789*LP 5 Early*Cla*2019*43</t>
  </si>
  <si>
    <t>114*N18-406*LP 5 Early*Cla*2019*24</t>
  </si>
  <si>
    <t>64*N18-559*LP 5 Early*Cla*2019*39</t>
  </si>
  <si>
    <t>14*N18-287*LP 5 Early*Cla*2019*12</t>
  </si>
  <si>
    <t>107*N18-282*LP 5 Early*Cla*2019*9</t>
  </si>
  <si>
    <t>57*N18-452*LP 5 Early*Cla*2019*30</t>
  </si>
  <si>
    <t>7*N18-779*LP 5 Early*Cla*2019*42</t>
  </si>
  <si>
    <t>104*N18-515*LP 5 Early*Cla*2019*35</t>
  </si>
  <si>
    <t>54*N18-235*LP 5 Early*Cla*2019*6</t>
  </si>
  <si>
    <t>N18-235</t>
  </si>
  <si>
    <t>4*N18-967*LP 5 Early*Cla*2019*46</t>
  </si>
  <si>
    <t>5*N18-429*LP 5 Early*Cla*2019*28</t>
  </si>
  <si>
    <t>55*N18-409*LP 5 Early*Cla*2019*25</t>
  </si>
  <si>
    <t>105*N18-312*LP 5 Early*Cla*2019*17</t>
  </si>
  <si>
    <t>6*N18-409*LP 5 Early*Cla*2019*25</t>
  </si>
  <si>
    <t>56*N18-178*LP 5 Early*Cla*2019*3</t>
  </si>
  <si>
    <t>106*N18-235*LP 5 Early*Cla*2019*6</t>
  </si>
  <si>
    <t>15*N18-452*LP 5 Early*Cla*2019*30</t>
  </si>
  <si>
    <t>65*N18-514*LP 5 Early*Cla*2019*34</t>
  </si>
  <si>
    <t>115*N18-286*LP 5 Early*Cla*2019*11</t>
  </si>
  <si>
    <t>16*N18-345*LP 5 Early*Cla*2019*21</t>
  </si>
  <si>
    <t>66*N18-798*LP 5 Early*Cla*2019*44</t>
  </si>
  <si>
    <t>116*N18-518*LP 5 Early*Cla*2019*36</t>
  </si>
  <si>
    <t>25*N18-492*LP 5 Early*Cla*2019*31</t>
  </si>
  <si>
    <t>75*N18-308*LP 5 Early*Cla*2019*15</t>
  </si>
  <si>
    <t>125*TN11-5102*LP 5 Early*Cla*2019*50</t>
  </si>
  <si>
    <t>26*N18-559*LP 5 Early*Cla*2019*39</t>
  </si>
  <si>
    <t>76*N18-354*LP 5 Early*Cla*2019*23</t>
  </si>
  <si>
    <t>126*N18-492*LP 5 Early*Cla*2019*31</t>
  </si>
  <si>
    <t>35*N18-285*LP 5 Early*Cla*2019*10</t>
  </si>
  <si>
    <t>85*N18-345*LP 5 Early*Cla*2019*21</t>
  </si>
  <si>
    <t>135*N18-415*LP 5 Early*Cla*2019*26</t>
  </si>
  <si>
    <t>36*Osage*LP 5 Early*Cla*2019*49</t>
  </si>
  <si>
    <t>86*N18-323*LP 5 Early*Cla*2019*18</t>
  </si>
  <si>
    <t>136*N18-163*LP 5 Early*Cla*2019*1</t>
  </si>
  <si>
    <t>45*N18-235*LP 5 Early*Cla*2019*6</t>
  </si>
  <si>
    <t>95*N18-163*LP 5 Early*Cla*2019*1</t>
  </si>
  <si>
    <t>145*N18-429*LP 5 Early*Cla*2019*28</t>
  </si>
  <si>
    <t>46*N18-446*LP 5 Early*Cla*2019*29</t>
  </si>
  <si>
    <t>96*N18-353*LP 5 Early*Cla*2019*22</t>
  </si>
  <si>
    <t>146*N18-237*LP 5 Early*Cla*2019*7</t>
  </si>
  <si>
    <t>P</t>
  </si>
  <si>
    <t>W</t>
  </si>
  <si>
    <t>S</t>
  </si>
  <si>
    <t>FP</t>
  </si>
  <si>
    <t>FW</t>
  </si>
  <si>
    <t>t</t>
  </si>
  <si>
    <t>g</t>
  </si>
  <si>
    <t>LB  disease</t>
  </si>
  <si>
    <t>CR,RB disease</t>
  </si>
  <si>
    <t>RB disease</t>
  </si>
  <si>
    <t>CR Thin</t>
  </si>
  <si>
    <t>SQ</t>
  </si>
  <si>
    <t>sh</t>
  </si>
  <si>
    <t>shriveled</t>
  </si>
  <si>
    <t>.</t>
  </si>
  <si>
    <t>Pro</t>
  </si>
  <si>
    <t>Oil</t>
  </si>
  <si>
    <t>P+O</t>
  </si>
  <si>
    <t>Pro 13%M</t>
  </si>
  <si>
    <t>Oil 13%M</t>
  </si>
  <si>
    <t>Pro D</t>
  </si>
  <si>
    <t>Oil D</t>
  </si>
  <si>
    <t>P+O D</t>
  </si>
  <si>
    <t>PO13</t>
  </si>
  <si>
    <t>Yieldg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</si>
</sst>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Times New Roman"/>
      <family val="2"/>
    </font>
    <font>
      <sz val="12"/>
      <name val="Times New Roman"/>
      <family val="1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" fontId="1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2" fontId="2" fillId="0" borderId="0" xfId="0" applyNumberFormat="1" applyFont="1"/>
    <xf numFmtId="2" fontId="2" fillId="0" borderId="0" xfId="0" applyNumberFormat="1" applyFont="1" applyFill="1" applyAlignment="1">
      <alignment horizontal="center"/>
    </xf>
    <xf numFmtId="2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371475</xdr:colOff>
          <xdr:row>3</xdr:row>
          <xdr:rowOff>76200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371475</xdr:colOff>
          <xdr:row>3</xdr:row>
          <xdr:rowOff>76200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D3E762D-BC3E-4214-87FE-66712D310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51"/>
  <sheetViews>
    <sheetView zoomScaleNormal="100" workbookViewId="0"/>
  </sheetViews>
  <sheetFormatPr defaultRowHeight="15.75" x14ac:dyDescent="0.25"/>
  <cols>
    <col min="1" max="1" width="12.1640625" style="2" customWidth="1"/>
    <col min="2" max="2" width="14.83203125" style="2" customWidth="1"/>
    <col min="3" max="3" width="9.33203125" style="2"/>
    <col min="4" max="4" width="12" style="2" customWidth="1"/>
    <col min="5" max="8" width="9.33203125" style="2"/>
    <col min="9" max="10" width="0" style="2" hidden="1" customWidth="1"/>
    <col min="11" max="15" width="9.33203125" style="2"/>
    <col min="16" max="16" width="6.83203125" style="2" customWidth="1"/>
    <col min="17" max="19" width="6.83203125" style="9" customWidth="1"/>
    <col min="20" max="20" width="12.6640625" style="9" bestFit="1" customWidth="1"/>
    <col min="21" max="21" width="12.83203125" style="9" bestFit="1" customWidth="1"/>
    <col min="22" max="22" width="12" style="2" customWidth="1"/>
    <col min="23" max="23" width="10" style="2" bestFit="1" customWidth="1"/>
    <col min="24" max="16384" width="9.33203125" style="2"/>
  </cols>
  <sheetData>
    <row r="1" spans="1:23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229</v>
      </c>
      <c r="Q1" s="7" t="s">
        <v>233</v>
      </c>
      <c r="R1" s="7" t="s">
        <v>234</v>
      </c>
      <c r="S1" s="1" t="s">
        <v>235</v>
      </c>
      <c r="T1" s="1" t="s">
        <v>236</v>
      </c>
      <c r="U1" s="1" t="s">
        <v>237</v>
      </c>
      <c r="V1" s="3" t="s">
        <v>14</v>
      </c>
      <c r="W1" s="3" t="s">
        <v>231</v>
      </c>
    </row>
    <row r="2" spans="1:23" s="4" customFormat="1" x14ac:dyDescent="0.25">
      <c r="A2" s="4" t="s">
        <v>77</v>
      </c>
      <c r="B2" s="5" t="s">
        <v>78</v>
      </c>
      <c r="C2" s="5" t="s">
        <v>18</v>
      </c>
      <c r="D2" s="5" t="s">
        <v>19</v>
      </c>
      <c r="E2" s="5">
        <v>2019</v>
      </c>
      <c r="F2" s="5">
        <v>1</v>
      </c>
      <c r="G2" s="5">
        <v>1</v>
      </c>
      <c r="H2" s="5">
        <v>49</v>
      </c>
      <c r="I2" s="4" t="s">
        <v>218</v>
      </c>
      <c r="J2" s="4">
        <v>33</v>
      </c>
      <c r="K2" s="4" t="s">
        <v>223</v>
      </c>
      <c r="L2" s="4">
        <v>2</v>
      </c>
      <c r="M2" s="4">
        <v>30</v>
      </c>
      <c r="N2" s="6">
        <v>961.4</v>
      </c>
      <c r="O2" s="6">
        <v>17.399999999999999</v>
      </c>
      <c r="P2" s="4">
        <v>2</v>
      </c>
      <c r="Q2" s="1">
        <v>44.5</v>
      </c>
      <c r="R2" s="1">
        <v>23.6</v>
      </c>
      <c r="S2" s="8">
        <f>Q2+R2</f>
        <v>68.099999999999994</v>
      </c>
      <c r="T2" s="8">
        <f>Q2*0.87</f>
        <v>38.714999999999996</v>
      </c>
      <c r="U2" s="8">
        <f>R2*0.87</f>
        <v>20.532</v>
      </c>
      <c r="V2" s="4" t="s">
        <v>227</v>
      </c>
      <c r="W2" s="4" t="s">
        <v>232</v>
      </c>
    </row>
    <row r="3" spans="1:23" s="4" customFormat="1" x14ac:dyDescent="0.25">
      <c r="A3" s="4" t="s">
        <v>213</v>
      </c>
      <c r="B3" s="4" t="s">
        <v>78</v>
      </c>
      <c r="C3" s="4" t="s">
        <v>18</v>
      </c>
      <c r="D3" s="4" t="s">
        <v>19</v>
      </c>
      <c r="E3" s="4">
        <v>2019</v>
      </c>
      <c r="F3" s="4">
        <v>2</v>
      </c>
      <c r="G3" s="4">
        <v>1</v>
      </c>
      <c r="H3" s="4">
        <v>95</v>
      </c>
      <c r="I3" s="4" t="s">
        <v>218</v>
      </c>
      <c r="J3" s="4">
        <v>35</v>
      </c>
      <c r="K3" s="4" t="s">
        <v>223</v>
      </c>
      <c r="L3" s="4">
        <v>2</v>
      </c>
      <c r="M3" s="4">
        <v>32</v>
      </c>
      <c r="N3" s="6">
        <v>1282.5999999999999</v>
      </c>
      <c r="O3" s="6">
        <v>17</v>
      </c>
      <c r="P3" s="4">
        <v>1.5</v>
      </c>
      <c r="Q3" s="1">
        <v>42.72</v>
      </c>
      <c r="R3" s="1">
        <v>24.3</v>
      </c>
      <c r="S3" s="8">
        <f t="shared" ref="S3:S66" si="0">Q3+R3</f>
        <v>67.02</v>
      </c>
      <c r="T3" s="8">
        <f t="shared" ref="T3:T66" si="1">Q3*0.87</f>
        <v>37.166399999999996</v>
      </c>
      <c r="U3" s="8">
        <f t="shared" ref="U3:U66" si="2">R3*0.87</f>
        <v>21.141000000000002</v>
      </c>
      <c r="V3" s="4" t="s">
        <v>232</v>
      </c>
      <c r="W3" s="4" t="s">
        <v>232</v>
      </c>
    </row>
    <row r="4" spans="1:23" s="4" customFormat="1" x14ac:dyDescent="0.25">
      <c r="A4" s="4" t="s">
        <v>211</v>
      </c>
      <c r="B4" s="4" t="s">
        <v>78</v>
      </c>
      <c r="C4" s="4" t="s">
        <v>18</v>
      </c>
      <c r="D4" s="4" t="s">
        <v>19</v>
      </c>
      <c r="E4" s="4">
        <v>2019</v>
      </c>
      <c r="F4" s="4">
        <v>3</v>
      </c>
      <c r="G4" s="4">
        <v>1</v>
      </c>
      <c r="H4" s="4">
        <v>136</v>
      </c>
      <c r="I4" s="4" t="s">
        <v>218</v>
      </c>
      <c r="K4" s="4" t="s">
        <v>223</v>
      </c>
      <c r="L4" s="4" t="s">
        <v>232</v>
      </c>
      <c r="M4" s="4" t="s">
        <v>232</v>
      </c>
      <c r="N4" s="6">
        <v>648.29999999999995</v>
      </c>
      <c r="O4" s="6">
        <v>17.5</v>
      </c>
      <c r="P4" s="4">
        <v>2</v>
      </c>
      <c r="Q4" s="1">
        <v>43.35</v>
      </c>
      <c r="R4" s="1">
        <v>23.49</v>
      </c>
      <c r="S4" s="8">
        <f t="shared" si="0"/>
        <v>66.84</v>
      </c>
      <c r="T4" s="8">
        <f t="shared" si="1"/>
        <v>37.714500000000001</v>
      </c>
      <c r="U4" s="8">
        <f t="shared" si="2"/>
        <v>20.436299999999999</v>
      </c>
      <c r="V4" s="4" t="s">
        <v>232</v>
      </c>
      <c r="W4" s="4" t="s">
        <v>232</v>
      </c>
    </row>
    <row r="5" spans="1:23" s="4" customFormat="1" x14ac:dyDescent="0.25">
      <c r="A5" s="4" t="s">
        <v>99</v>
      </c>
      <c r="B5" s="5" t="s">
        <v>66</v>
      </c>
      <c r="C5" s="5" t="s">
        <v>18</v>
      </c>
      <c r="D5" s="5" t="s">
        <v>19</v>
      </c>
      <c r="E5" s="5">
        <v>2019</v>
      </c>
      <c r="F5" s="5">
        <v>1</v>
      </c>
      <c r="G5" s="5">
        <v>2</v>
      </c>
      <c r="H5" s="5">
        <v>22</v>
      </c>
      <c r="I5" s="4" t="s">
        <v>219</v>
      </c>
      <c r="J5" s="4">
        <v>34</v>
      </c>
      <c r="K5" s="4" t="s">
        <v>223</v>
      </c>
      <c r="L5" s="4">
        <v>2</v>
      </c>
      <c r="M5" s="4">
        <v>28</v>
      </c>
      <c r="N5" s="6">
        <v>1088.2</v>
      </c>
      <c r="O5" s="6">
        <v>14.7</v>
      </c>
      <c r="P5" s="4">
        <v>1.5</v>
      </c>
      <c r="Q5" s="1">
        <v>45.28</v>
      </c>
      <c r="R5" s="1">
        <v>22.64</v>
      </c>
      <c r="S5" s="8">
        <f t="shared" si="0"/>
        <v>67.92</v>
      </c>
      <c r="T5" s="8">
        <f t="shared" si="1"/>
        <v>39.393599999999999</v>
      </c>
      <c r="U5" s="8">
        <f t="shared" si="2"/>
        <v>19.6968</v>
      </c>
      <c r="V5" s="4" t="s">
        <v>232</v>
      </c>
      <c r="W5" s="4" t="s">
        <v>232</v>
      </c>
    </row>
    <row r="6" spans="1:23" s="4" customFormat="1" x14ac:dyDescent="0.25">
      <c r="A6" s="4" t="s">
        <v>65</v>
      </c>
      <c r="B6" s="5" t="s">
        <v>66</v>
      </c>
      <c r="C6" s="5" t="s">
        <v>18</v>
      </c>
      <c r="D6" s="5" t="s">
        <v>19</v>
      </c>
      <c r="E6" s="5">
        <v>2019</v>
      </c>
      <c r="F6" s="5">
        <v>2</v>
      </c>
      <c r="G6" s="5">
        <v>2</v>
      </c>
      <c r="H6" s="5">
        <v>91</v>
      </c>
      <c r="I6" s="4" t="s">
        <v>219</v>
      </c>
      <c r="J6" s="4">
        <v>32</v>
      </c>
      <c r="K6" s="4" t="s">
        <v>223</v>
      </c>
      <c r="L6" s="4">
        <v>2</v>
      </c>
      <c r="M6" s="4">
        <v>34</v>
      </c>
      <c r="N6" s="6">
        <v>1262.9000000000001</v>
      </c>
      <c r="O6" s="6">
        <v>15.2</v>
      </c>
      <c r="P6" s="4">
        <v>1.5</v>
      </c>
      <c r="Q6" s="1">
        <v>44.06</v>
      </c>
      <c r="R6" s="1">
        <v>23.06</v>
      </c>
      <c r="S6" s="8">
        <f t="shared" si="0"/>
        <v>67.12</v>
      </c>
      <c r="T6" s="8">
        <f t="shared" si="1"/>
        <v>38.3322</v>
      </c>
      <c r="U6" s="8">
        <f t="shared" si="2"/>
        <v>20.062199999999997</v>
      </c>
      <c r="V6" s="4" t="s">
        <v>232</v>
      </c>
      <c r="W6" s="4" t="s">
        <v>232</v>
      </c>
    </row>
    <row r="7" spans="1:23" s="4" customFormat="1" x14ac:dyDescent="0.25">
      <c r="A7" s="4" t="s">
        <v>120</v>
      </c>
      <c r="B7" s="5" t="s">
        <v>66</v>
      </c>
      <c r="C7" s="5" t="s">
        <v>18</v>
      </c>
      <c r="D7" s="5" t="s">
        <v>19</v>
      </c>
      <c r="E7" s="5">
        <v>2019</v>
      </c>
      <c r="F7" s="5">
        <v>3</v>
      </c>
      <c r="G7" s="5">
        <v>2</v>
      </c>
      <c r="H7" s="5">
        <v>103</v>
      </c>
      <c r="I7" s="4" t="s">
        <v>219</v>
      </c>
      <c r="K7" s="4" t="s">
        <v>223</v>
      </c>
      <c r="L7" s="4" t="s">
        <v>232</v>
      </c>
      <c r="M7" s="4" t="s">
        <v>232</v>
      </c>
      <c r="N7" s="6">
        <v>1364.2</v>
      </c>
      <c r="O7" s="6">
        <v>15.7</v>
      </c>
      <c r="P7" s="4">
        <v>2</v>
      </c>
      <c r="Q7" s="1">
        <v>44.41</v>
      </c>
      <c r="R7" s="1">
        <v>22.3</v>
      </c>
      <c r="S7" s="8">
        <f t="shared" si="0"/>
        <v>66.709999999999994</v>
      </c>
      <c r="T7" s="8">
        <f t="shared" si="1"/>
        <v>38.636699999999998</v>
      </c>
      <c r="U7" s="8">
        <f t="shared" si="2"/>
        <v>19.401</v>
      </c>
      <c r="V7" s="4" t="s">
        <v>232</v>
      </c>
      <c r="W7" s="4" t="s">
        <v>232</v>
      </c>
    </row>
    <row r="8" spans="1:23" s="4" customFormat="1" x14ac:dyDescent="0.25">
      <c r="A8" s="4" t="s">
        <v>157</v>
      </c>
      <c r="B8" s="5" t="s">
        <v>29</v>
      </c>
      <c r="C8" s="5" t="s">
        <v>18</v>
      </c>
      <c r="D8" s="5" t="s">
        <v>19</v>
      </c>
      <c r="E8" s="5">
        <v>2019</v>
      </c>
      <c r="F8" s="5">
        <v>1</v>
      </c>
      <c r="G8" s="5">
        <v>3</v>
      </c>
      <c r="H8" s="5">
        <v>47</v>
      </c>
      <c r="I8" s="4" t="s">
        <v>218</v>
      </c>
      <c r="J8" s="4">
        <v>32</v>
      </c>
      <c r="K8" s="4" t="s">
        <v>223</v>
      </c>
      <c r="L8" s="4">
        <v>1.5</v>
      </c>
      <c r="M8" s="4">
        <v>31</v>
      </c>
      <c r="N8" s="6">
        <v>890.9</v>
      </c>
      <c r="O8" s="6">
        <v>15.6</v>
      </c>
      <c r="P8" s="4">
        <v>2</v>
      </c>
      <c r="Q8" s="1">
        <v>41.59</v>
      </c>
      <c r="R8" s="1">
        <v>24.4</v>
      </c>
      <c r="S8" s="8">
        <f t="shared" si="0"/>
        <v>65.990000000000009</v>
      </c>
      <c r="T8" s="8">
        <f t="shared" si="1"/>
        <v>36.183300000000003</v>
      </c>
      <c r="U8" s="8">
        <f t="shared" si="2"/>
        <v>21.227999999999998</v>
      </c>
      <c r="V8" s="4" t="s">
        <v>232</v>
      </c>
      <c r="W8" s="4" t="s">
        <v>232</v>
      </c>
    </row>
    <row r="9" spans="1:23" s="4" customFormat="1" x14ac:dyDescent="0.25">
      <c r="A9" s="4" t="s">
        <v>192</v>
      </c>
      <c r="B9" s="4" t="s">
        <v>29</v>
      </c>
      <c r="C9" s="4" t="s">
        <v>18</v>
      </c>
      <c r="D9" s="4" t="s">
        <v>19</v>
      </c>
      <c r="E9" s="4">
        <v>2019</v>
      </c>
      <c r="F9" s="4">
        <v>2</v>
      </c>
      <c r="G9" s="4">
        <v>3</v>
      </c>
      <c r="H9" s="4">
        <v>56</v>
      </c>
      <c r="I9" s="4" t="s">
        <v>218</v>
      </c>
      <c r="J9" s="4">
        <v>33</v>
      </c>
      <c r="K9" s="4" t="s">
        <v>223</v>
      </c>
      <c r="L9" s="4">
        <v>1.5</v>
      </c>
      <c r="M9" s="4">
        <v>30</v>
      </c>
      <c r="N9" s="6">
        <v>1034.5999999999999</v>
      </c>
      <c r="O9" s="6">
        <v>15.8</v>
      </c>
      <c r="P9" s="4">
        <v>1.5</v>
      </c>
      <c r="Q9" s="1">
        <v>42.19</v>
      </c>
      <c r="R9" s="1">
        <v>24.03</v>
      </c>
      <c r="S9" s="8">
        <f t="shared" si="0"/>
        <v>66.22</v>
      </c>
      <c r="T9" s="8">
        <f t="shared" si="1"/>
        <v>36.705300000000001</v>
      </c>
      <c r="U9" s="8">
        <f t="shared" si="2"/>
        <v>20.906100000000002</v>
      </c>
      <c r="V9" s="4" t="s">
        <v>232</v>
      </c>
      <c r="W9" s="4" t="s">
        <v>232</v>
      </c>
    </row>
    <row r="10" spans="1:23" s="4" customFormat="1" x14ac:dyDescent="0.25">
      <c r="A10" s="4" t="s">
        <v>28</v>
      </c>
      <c r="B10" s="5" t="s">
        <v>29</v>
      </c>
      <c r="C10" s="5" t="s">
        <v>18</v>
      </c>
      <c r="D10" s="5" t="s">
        <v>19</v>
      </c>
      <c r="E10" s="5">
        <v>2019</v>
      </c>
      <c r="F10" s="5">
        <v>3</v>
      </c>
      <c r="G10" s="5">
        <v>3</v>
      </c>
      <c r="H10" s="5">
        <v>110</v>
      </c>
      <c r="I10" s="4" t="s">
        <v>218</v>
      </c>
      <c r="K10" s="4" t="s">
        <v>223</v>
      </c>
      <c r="L10" s="4" t="s">
        <v>232</v>
      </c>
      <c r="M10" s="4" t="s">
        <v>232</v>
      </c>
      <c r="N10" s="6">
        <v>656.3</v>
      </c>
      <c r="O10" s="6">
        <v>14.1</v>
      </c>
      <c r="P10" s="4">
        <v>1.5</v>
      </c>
      <c r="Q10" s="1">
        <v>42.77</v>
      </c>
      <c r="R10" s="1">
        <v>23.06</v>
      </c>
      <c r="S10" s="8">
        <f t="shared" si="0"/>
        <v>65.83</v>
      </c>
      <c r="T10" s="8">
        <f t="shared" si="1"/>
        <v>37.209900000000005</v>
      </c>
      <c r="U10" s="8">
        <f t="shared" si="2"/>
        <v>20.062199999999997</v>
      </c>
      <c r="V10" s="4" t="s">
        <v>232</v>
      </c>
      <c r="W10" s="4" t="s">
        <v>232</v>
      </c>
    </row>
    <row r="11" spans="1:23" s="4" customFormat="1" x14ac:dyDescent="0.25">
      <c r="A11" s="4" t="s">
        <v>128</v>
      </c>
      <c r="B11" s="5" t="s">
        <v>27</v>
      </c>
      <c r="C11" s="5" t="s">
        <v>18</v>
      </c>
      <c r="D11" s="5" t="s">
        <v>19</v>
      </c>
      <c r="E11" s="5">
        <v>2019</v>
      </c>
      <c r="F11" s="5">
        <v>1</v>
      </c>
      <c r="G11" s="5">
        <v>4</v>
      </c>
      <c r="H11" s="5">
        <v>18</v>
      </c>
      <c r="I11" s="4" t="s">
        <v>218</v>
      </c>
      <c r="J11" s="4">
        <v>34</v>
      </c>
      <c r="K11" s="4" t="s">
        <v>223</v>
      </c>
      <c r="L11" s="4">
        <v>15</v>
      </c>
      <c r="M11" s="4">
        <v>29</v>
      </c>
      <c r="N11" s="6">
        <v>1035.2</v>
      </c>
      <c r="O11" s="6">
        <v>14.6</v>
      </c>
      <c r="P11" s="4">
        <v>3</v>
      </c>
      <c r="Q11" s="1">
        <v>42.39</v>
      </c>
      <c r="R11" s="1">
        <v>23.3</v>
      </c>
      <c r="S11" s="8">
        <f t="shared" si="0"/>
        <v>65.69</v>
      </c>
      <c r="T11" s="8">
        <f t="shared" si="1"/>
        <v>36.879300000000001</v>
      </c>
      <c r="U11" s="8">
        <f t="shared" si="2"/>
        <v>20.271000000000001</v>
      </c>
      <c r="V11" s="4" t="s">
        <v>232</v>
      </c>
      <c r="W11" s="4" t="s">
        <v>230</v>
      </c>
    </row>
    <row r="12" spans="1:23" s="4" customFormat="1" x14ac:dyDescent="0.25">
      <c r="A12" s="4" t="s">
        <v>26</v>
      </c>
      <c r="B12" s="5" t="s">
        <v>27</v>
      </c>
      <c r="C12" s="5" t="s">
        <v>18</v>
      </c>
      <c r="D12" s="5" t="s">
        <v>19</v>
      </c>
      <c r="E12" s="5">
        <v>2019</v>
      </c>
      <c r="F12" s="5">
        <v>2</v>
      </c>
      <c r="G12" s="5">
        <v>4</v>
      </c>
      <c r="H12" s="5">
        <v>60</v>
      </c>
      <c r="I12" s="4" t="s">
        <v>218</v>
      </c>
      <c r="J12" s="4">
        <v>34</v>
      </c>
      <c r="K12" s="4" t="s">
        <v>223</v>
      </c>
      <c r="L12" s="4">
        <v>1.5</v>
      </c>
      <c r="M12" s="4">
        <v>24</v>
      </c>
      <c r="N12" s="6">
        <v>1093.0999999999999</v>
      </c>
      <c r="O12" s="6">
        <v>15.1</v>
      </c>
      <c r="P12" s="4">
        <v>1.5</v>
      </c>
      <c r="Q12" s="1">
        <v>43.19</v>
      </c>
      <c r="R12" s="1">
        <v>23.25</v>
      </c>
      <c r="S12" s="8">
        <f t="shared" si="0"/>
        <v>66.44</v>
      </c>
      <c r="T12" s="8">
        <f t="shared" si="1"/>
        <v>37.575299999999999</v>
      </c>
      <c r="U12" s="8">
        <f t="shared" si="2"/>
        <v>20.227499999999999</v>
      </c>
      <c r="V12" s="4" t="s">
        <v>232</v>
      </c>
      <c r="W12" s="4" t="s">
        <v>232</v>
      </c>
    </row>
    <row r="13" spans="1:23" s="4" customFormat="1" x14ac:dyDescent="0.25">
      <c r="A13" s="4" t="s">
        <v>100</v>
      </c>
      <c r="B13" s="5" t="s">
        <v>27</v>
      </c>
      <c r="C13" s="5" t="s">
        <v>18</v>
      </c>
      <c r="D13" s="5" t="s">
        <v>19</v>
      </c>
      <c r="E13" s="5">
        <v>2019</v>
      </c>
      <c r="F13" s="5">
        <v>3</v>
      </c>
      <c r="G13" s="5">
        <v>4</v>
      </c>
      <c r="H13" s="5">
        <v>119</v>
      </c>
      <c r="I13" s="4" t="s">
        <v>218</v>
      </c>
      <c r="K13" s="4" t="s">
        <v>223</v>
      </c>
      <c r="L13" s="4" t="s">
        <v>232</v>
      </c>
      <c r="M13" s="4" t="s">
        <v>232</v>
      </c>
      <c r="N13" s="6">
        <v>1020.6</v>
      </c>
      <c r="O13" s="6">
        <v>15.5</v>
      </c>
      <c r="P13" s="4">
        <v>2</v>
      </c>
      <c r="Q13" s="1">
        <v>43.05</v>
      </c>
      <c r="R13" s="1">
        <v>23.2</v>
      </c>
      <c r="S13" s="8">
        <f t="shared" si="0"/>
        <v>66.25</v>
      </c>
      <c r="T13" s="8">
        <f t="shared" si="1"/>
        <v>37.453499999999998</v>
      </c>
      <c r="U13" s="8">
        <f t="shared" si="2"/>
        <v>20.184000000000001</v>
      </c>
      <c r="V13" s="4" t="s">
        <v>232</v>
      </c>
      <c r="W13" s="4" t="s">
        <v>232</v>
      </c>
    </row>
    <row r="14" spans="1:23" s="4" customFormat="1" x14ac:dyDescent="0.25">
      <c r="A14" s="4" t="s">
        <v>52</v>
      </c>
      <c r="B14" s="5" t="s">
        <v>53</v>
      </c>
      <c r="C14" s="5" t="s">
        <v>18</v>
      </c>
      <c r="D14" s="5" t="s">
        <v>19</v>
      </c>
      <c r="E14" s="5">
        <v>2019</v>
      </c>
      <c r="F14" s="5">
        <v>1</v>
      </c>
      <c r="G14" s="5">
        <v>5</v>
      </c>
      <c r="H14" s="5">
        <v>31</v>
      </c>
      <c r="I14" s="4" t="s">
        <v>218</v>
      </c>
      <c r="J14" s="4">
        <v>30</v>
      </c>
      <c r="K14" s="4" t="s">
        <v>223</v>
      </c>
      <c r="L14" s="4">
        <v>1.5</v>
      </c>
      <c r="M14" s="4">
        <v>24</v>
      </c>
      <c r="N14" s="6">
        <v>1012.2</v>
      </c>
      <c r="O14" s="6">
        <v>16.2</v>
      </c>
      <c r="P14" s="4">
        <v>2.5</v>
      </c>
      <c r="Q14" s="1">
        <v>44.23</v>
      </c>
      <c r="R14" s="1">
        <v>21.96</v>
      </c>
      <c r="S14" s="8">
        <f t="shared" si="0"/>
        <v>66.19</v>
      </c>
      <c r="T14" s="8">
        <f t="shared" si="1"/>
        <v>38.4801</v>
      </c>
      <c r="U14" s="8">
        <f t="shared" si="2"/>
        <v>19.1052</v>
      </c>
      <c r="V14" s="4" t="s">
        <v>232</v>
      </c>
      <c r="W14" s="4" t="s">
        <v>232</v>
      </c>
    </row>
    <row r="15" spans="1:23" s="4" customFormat="1" x14ac:dyDescent="0.25">
      <c r="A15" s="4" t="s">
        <v>98</v>
      </c>
      <c r="B15" s="5" t="s">
        <v>53</v>
      </c>
      <c r="C15" s="5" t="s">
        <v>18</v>
      </c>
      <c r="D15" s="5" t="s">
        <v>19</v>
      </c>
      <c r="E15" s="5">
        <v>2019</v>
      </c>
      <c r="F15" s="5">
        <v>2</v>
      </c>
      <c r="G15" s="5">
        <v>5</v>
      </c>
      <c r="H15" s="5">
        <v>72</v>
      </c>
      <c r="I15" s="4" t="s">
        <v>218</v>
      </c>
      <c r="J15" s="4">
        <v>31</v>
      </c>
      <c r="K15" s="4" t="s">
        <v>223</v>
      </c>
      <c r="L15" s="4">
        <v>1.5</v>
      </c>
      <c r="M15" s="4">
        <v>23</v>
      </c>
      <c r="N15" s="6">
        <v>1108.5999999999999</v>
      </c>
      <c r="O15" s="6">
        <v>16.2</v>
      </c>
      <c r="P15" s="4">
        <v>3</v>
      </c>
      <c r="Q15" s="1">
        <v>44.87</v>
      </c>
      <c r="R15" s="1">
        <v>22.29</v>
      </c>
      <c r="S15" s="8">
        <f t="shared" si="0"/>
        <v>67.16</v>
      </c>
      <c r="T15" s="8">
        <f t="shared" si="1"/>
        <v>39.036899999999996</v>
      </c>
      <c r="U15" s="8">
        <f t="shared" si="2"/>
        <v>19.392299999999999</v>
      </c>
      <c r="V15" s="4" t="s">
        <v>232</v>
      </c>
      <c r="W15" s="4" t="s">
        <v>230</v>
      </c>
    </row>
    <row r="16" spans="1:23" s="4" customFormat="1" x14ac:dyDescent="0.25">
      <c r="A16" s="4" t="s">
        <v>72</v>
      </c>
      <c r="B16" s="5" t="s">
        <v>53</v>
      </c>
      <c r="C16" s="5" t="s">
        <v>18</v>
      </c>
      <c r="D16" s="5" t="s">
        <v>19</v>
      </c>
      <c r="E16" s="5">
        <v>2019</v>
      </c>
      <c r="F16" s="5">
        <v>3</v>
      </c>
      <c r="G16" s="5">
        <v>5</v>
      </c>
      <c r="H16" s="5">
        <v>150</v>
      </c>
      <c r="I16" s="4" t="s">
        <v>218</v>
      </c>
      <c r="K16" s="4" t="s">
        <v>223</v>
      </c>
      <c r="L16" s="4" t="s">
        <v>232</v>
      </c>
      <c r="M16" s="4" t="s">
        <v>232</v>
      </c>
      <c r="N16" s="6">
        <v>772.2</v>
      </c>
      <c r="O16" s="6">
        <v>16.3</v>
      </c>
      <c r="P16" s="4">
        <v>3</v>
      </c>
      <c r="Q16" s="1">
        <v>44.17</v>
      </c>
      <c r="R16" s="1">
        <v>22.04</v>
      </c>
      <c r="S16" s="8">
        <f t="shared" si="0"/>
        <v>66.210000000000008</v>
      </c>
      <c r="T16" s="8">
        <f t="shared" si="1"/>
        <v>38.427900000000001</v>
      </c>
      <c r="U16" s="8">
        <f t="shared" si="2"/>
        <v>19.174799999999998</v>
      </c>
      <c r="V16" s="4" t="s">
        <v>232</v>
      </c>
      <c r="W16" s="4" t="s">
        <v>232</v>
      </c>
    </row>
    <row r="17" spans="1:23" s="4" customFormat="1" x14ac:dyDescent="0.25">
      <c r="A17" s="4" t="s">
        <v>212</v>
      </c>
      <c r="B17" s="4" t="s">
        <v>186</v>
      </c>
      <c r="C17" s="4" t="s">
        <v>18</v>
      </c>
      <c r="D17" s="4" t="s">
        <v>19</v>
      </c>
      <c r="E17" s="4">
        <v>2019</v>
      </c>
      <c r="F17" s="4">
        <v>1</v>
      </c>
      <c r="G17" s="4">
        <v>6</v>
      </c>
      <c r="H17" s="4">
        <v>45</v>
      </c>
      <c r="I17" s="4" t="s">
        <v>219</v>
      </c>
      <c r="J17" s="4">
        <v>30</v>
      </c>
      <c r="K17" s="4" t="s">
        <v>224</v>
      </c>
      <c r="L17" s="4">
        <v>2</v>
      </c>
      <c r="M17" s="4">
        <v>28</v>
      </c>
      <c r="N17" s="6">
        <v>1029.7</v>
      </c>
      <c r="O17" s="6">
        <v>14.7</v>
      </c>
      <c r="P17" s="4">
        <v>2.5</v>
      </c>
      <c r="Q17" s="1">
        <v>43.04</v>
      </c>
      <c r="R17" s="1">
        <v>22.63</v>
      </c>
      <c r="S17" s="8">
        <f t="shared" si="0"/>
        <v>65.67</v>
      </c>
      <c r="T17" s="8">
        <f t="shared" si="1"/>
        <v>37.444800000000001</v>
      </c>
      <c r="U17" s="8">
        <f t="shared" si="2"/>
        <v>19.688099999999999</v>
      </c>
      <c r="V17" s="4" t="s">
        <v>232</v>
      </c>
      <c r="W17" s="4" t="s">
        <v>232</v>
      </c>
    </row>
    <row r="18" spans="1:23" s="4" customFormat="1" x14ac:dyDescent="0.25">
      <c r="A18" s="4" t="s">
        <v>185</v>
      </c>
      <c r="B18" s="4" t="s">
        <v>186</v>
      </c>
      <c r="C18" s="4" t="s">
        <v>18</v>
      </c>
      <c r="D18" s="4" t="s">
        <v>19</v>
      </c>
      <c r="E18" s="4">
        <v>2019</v>
      </c>
      <c r="F18" s="4">
        <v>2</v>
      </c>
      <c r="G18" s="4">
        <v>6</v>
      </c>
      <c r="H18" s="4">
        <v>54</v>
      </c>
      <c r="I18" s="4" t="s">
        <v>219</v>
      </c>
      <c r="J18" s="4">
        <v>30</v>
      </c>
      <c r="K18" s="4" t="s">
        <v>224</v>
      </c>
      <c r="L18" s="4">
        <v>1.5</v>
      </c>
      <c r="M18" s="4">
        <v>27</v>
      </c>
      <c r="N18" s="6">
        <v>1202.0999999999999</v>
      </c>
      <c r="O18" s="6">
        <v>15.9</v>
      </c>
      <c r="P18" s="4">
        <v>2</v>
      </c>
      <c r="Q18" s="1">
        <v>41.54</v>
      </c>
      <c r="R18" s="1">
        <v>23.94</v>
      </c>
      <c r="S18" s="8">
        <f t="shared" si="0"/>
        <v>65.48</v>
      </c>
      <c r="T18" s="8">
        <f t="shared" si="1"/>
        <v>36.139800000000001</v>
      </c>
      <c r="U18" s="8">
        <f t="shared" si="2"/>
        <v>20.8278</v>
      </c>
      <c r="V18" s="4" t="s">
        <v>232</v>
      </c>
      <c r="W18" s="4" t="s">
        <v>232</v>
      </c>
    </row>
    <row r="19" spans="1:23" s="4" customFormat="1" x14ac:dyDescent="0.25">
      <c r="A19" s="4" t="s">
        <v>193</v>
      </c>
      <c r="B19" s="4" t="s">
        <v>186</v>
      </c>
      <c r="C19" s="4" t="s">
        <v>18</v>
      </c>
      <c r="D19" s="4" t="s">
        <v>19</v>
      </c>
      <c r="E19" s="4">
        <v>2019</v>
      </c>
      <c r="F19" s="4">
        <v>3</v>
      </c>
      <c r="G19" s="4">
        <v>6</v>
      </c>
      <c r="H19" s="4">
        <v>106</v>
      </c>
      <c r="I19" s="4" t="s">
        <v>219</v>
      </c>
      <c r="K19" s="4" t="s">
        <v>224</v>
      </c>
      <c r="L19" s="4" t="s">
        <v>232</v>
      </c>
      <c r="M19" s="4" t="s">
        <v>232</v>
      </c>
      <c r="N19" s="6">
        <v>1222.8</v>
      </c>
      <c r="O19" s="6">
        <v>15.8</v>
      </c>
      <c r="P19" s="4">
        <v>2.5</v>
      </c>
      <c r="Q19" s="1">
        <v>43.45</v>
      </c>
      <c r="R19" s="1">
        <v>21.78</v>
      </c>
      <c r="S19" s="8">
        <f t="shared" si="0"/>
        <v>65.23</v>
      </c>
      <c r="T19" s="8">
        <f t="shared" si="1"/>
        <v>37.801500000000004</v>
      </c>
      <c r="U19" s="8">
        <f t="shared" si="2"/>
        <v>18.948600000000003</v>
      </c>
      <c r="V19" s="4" t="s">
        <v>232</v>
      </c>
      <c r="W19" s="4" t="s">
        <v>230</v>
      </c>
    </row>
    <row r="20" spans="1:23" s="4" customFormat="1" x14ac:dyDescent="0.25">
      <c r="A20" s="4" t="s">
        <v>144</v>
      </c>
      <c r="B20" s="5" t="s">
        <v>138</v>
      </c>
      <c r="C20" s="5" t="s">
        <v>18</v>
      </c>
      <c r="D20" s="5" t="s">
        <v>19</v>
      </c>
      <c r="E20" s="5">
        <v>2019</v>
      </c>
      <c r="F20" s="5">
        <v>1</v>
      </c>
      <c r="G20" s="5">
        <v>7</v>
      </c>
      <c r="H20" s="5">
        <v>38</v>
      </c>
      <c r="I20" s="4" t="s">
        <v>218</v>
      </c>
      <c r="J20" s="4">
        <v>32</v>
      </c>
      <c r="K20" s="4" t="s">
        <v>223</v>
      </c>
      <c r="L20" s="4">
        <v>1</v>
      </c>
      <c r="M20" s="4">
        <v>24</v>
      </c>
      <c r="N20" s="6">
        <v>1128.5</v>
      </c>
      <c r="O20" s="6">
        <v>15.9</v>
      </c>
      <c r="P20" s="4">
        <v>1.5</v>
      </c>
      <c r="Q20" s="1">
        <v>45.01</v>
      </c>
      <c r="R20" s="1">
        <v>21.4</v>
      </c>
      <c r="S20" s="8">
        <f t="shared" si="0"/>
        <v>66.41</v>
      </c>
      <c r="T20" s="8">
        <f t="shared" si="1"/>
        <v>39.158699999999996</v>
      </c>
      <c r="U20" s="8">
        <f t="shared" si="2"/>
        <v>18.617999999999999</v>
      </c>
      <c r="V20" s="4" t="s">
        <v>232</v>
      </c>
      <c r="W20" s="4" t="s">
        <v>232</v>
      </c>
    </row>
    <row r="21" spans="1:23" s="4" customFormat="1" x14ac:dyDescent="0.25">
      <c r="A21" s="4" t="s">
        <v>137</v>
      </c>
      <c r="B21" s="5" t="s">
        <v>138</v>
      </c>
      <c r="C21" s="5" t="s">
        <v>18</v>
      </c>
      <c r="D21" s="5" t="s">
        <v>19</v>
      </c>
      <c r="E21" s="5">
        <v>2019</v>
      </c>
      <c r="F21" s="5">
        <v>2</v>
      </c>
      <c r="G21" s="5">
        <v>7</v>
      </c>
      <c r="H21" s="5">
        <v>78</v>
      </c>
      <c r="I21" s="4" t="s">
        <v>218</v>
      </c>
      <c r="J21" s="4">
        <v>34</v>
      </c>
      <c r="K21" s="4" t="s">
        <v>223</v>
      </c>
      <c r="L21" s="4">
        <v>1</v>
      </c>
      <c r="M21" s="4">
        <v>25</v>
      </c>
      <c r="N21" s="6">
        <v>694</v>
      </c>
      <c r="O21" s="6">
        <v>16.899999999999999</v>
      </c>
      <c r="P21" s="4">
        <v>3.5</v>
      </c>
      <c r="Q21" s="1">
        <v>46.57</v>
      </c>
      <c r="R21" s="1">
        <v>19.77</v>
      </c>
      <c r="S21" s="8">
        <f t="shared" si="0"/>
        <v>66.34</v>
      </c>
      <c r="T21" s="8">
        <f t="shared" si="1"/>
        <v>40.515900000000002</v>
      </c>
      <c r="U21" s="8">
        <f t="shared" si="2"/>
        <v>17.1999</v>
      </c>
      <c r="V21" s="4" t="s">
        <v>232</v>
      </c>
      <c r="W21" s="4" t="s">
        <v>232</v>
      </c>
    </row>
    <row r="22" spans="1:23" s="4" customFormat="1" x14ac:dyDescent="0.25">
      <c r="A22" s="4" t="s">
        <v>217</v>
      </c>
      <c r="B22" s="4" t="s">
        <v>138</v>
      </c>
      <c r="C22" s="4" t="s">
        <v>18</v>
      </c>
      <c r="D22" s="4" t="s">
        <v>19</v>
      </c>
      <c r="E22" s="4">
        <v>2019</v>
      </c>
      <c r="F22" s="4">
        <v>3</v>
      </c>
      <c r="G22" s="4">
        <v>7</v>
      </c>
      <c r="H22" s="4">
        <v>146</v>
      </c>
      <c r="I22" s="4" t="s">
        <v>218</v>
      </c>
      <c r="K22" s="4" t="s">
        <v>223</v>
      </c>
      <c r="L22" s="4" t="s">
        <v>232</v>
      </c>
      <c r="M22" s="4" t="s">
        <v>232</v>
      </c>
      <c r="N22" s="6">
        <v>678.3</v>
      </c>
      <c r="O22" s="6">
        <v>15.5</v>
      </c>
      <c r="P22" s="4">
        <v>1.5</v>
      </c>
      <c r="Q22" s="1">
        <v>45.81</v>
      </c>
      <c r="R22" s="1">
        <v>21.22</v>
      </c>
      <c r="S22" s="8">
        <f t="shared" si="0"/>
        <v>67.03</v>
      </c>
      <c r="T22" s="8">
        <f t="shared" si="1"/>
        <v>39.854700000000001</v>
      </c>
      <c r="U22" s="8">
        <f t="shared" si="2"/>
        <v>18.461399999999998</v>
      </c>
      <c r="V22" s="4" t="s">
        <v>232</v>
      </c>
      <c r="W22" s="4" t="s">
        <v>232</v>
      </c>
    </row>
    <row r="23" spans="1:23" s="4" customFormat="1" x14ac:dyDescent="0.25">
      <c r="A23" s="4" t="s">
        <v>87</v>
      </c>
      <c r="B23" s="5" t="s">
        <v>68</v>
      </c>
      <c r="C23" s="5" t="s">
        <v>18</v>
      </c>
      <c r="D23" s="5" t="s">
        <v>19</v>
      </c>
      <c r="E23" s="5">
        <v>2019</v>
      </c>
      <c r="F23" s="5">
        <v>1</v>
      </c>
      <c r="G23" s="5">
        <v>8</v>
      </c>
      <c r="H23" s="5">
        <v>39</v>
      </c>
      <c r="I23" s="4" t="s">
        <v>218</v>
      </c>
      <c r="J23" s="4">
        <v>33</v>
      </c>
      <c r="K23" s="4" t="s">
        <v>223</v>
      </c>
      <c r="L23" s="4">
        <v>1</v>
      </c>
      <c r="M23" s="4">
        <v>24</v>
      </c>
      <c r="N23" s="6">
        <v>1157.4000000000001</v>
      </c>
      <c r="O23" s="6">
        <v>17</v>
      </c>
      <c r="P23" s="4">
        <v>3</v>
      </c>
      <c r="Q23" s="1">
        <v>45.54</v>
      </c>
      <c r="R23" s="1">
        <v>20.58</v>
      </c>
      <c r="S23" s="8">
        <f t="shared" si="0"/>
        <v>66.12</v>
      </c>
      <c r="T23" s="8">
        <f t="shared" si="1"/>
        <v>39.619799999999998</v>
      </c>
      <c r="U23" s="8">
        <f t="shared" si="2"/>
        <v>17.904599999999999</v>
      </c>
      <c r="V23" s="4" t="s">
        <v>232</v>
      </c>
      <c r="W23" s="4" t="s">
        <v>230</v>
      </c>
    </row>
    <row r="24" spans="1:23" s="4" customFormat="1" x14ac:dyDescent="0.25">
      <c r="A24" s="4" t="s">
        <v>129</v>
      </c>
      <c r="B24" s="5" t="s">
        <v>68</v>
      </c>
      <c r="C24" s="5" t="s">
        <v>18</v>
      </c>
      <c r="D24" s="5" t="s">
        <v>19</v>
      </c>
      <c r="E24" s="5">
        <v>2019</v>
      </c>
      <c r="F24" s="5">
        <v>2</v>
      </c>
      <c r="G24" s="5">
        <v>8</v>
      </c>
      <c r="H24" s="5">
        <v>68</v>
      </c>
      <c r="I24" s="4" t="s">
        <v>218</v>
      </c>
      <c r="J24" s="4">
        <v>32</v>
      </c>
      <c r="K24" s="4" t="s">
        <v>223</v>
      </c>
      <c r="L24" s="4">
        <v>1</v>
      </c>
      <c r="M24" s="4">
        <v>22</v>
      </c>
      <c r="N24" s="6">
        <v>1184.7</v>
      </c>
      <c r="O24" s="6">
        <v>15.5</v>
      </c>
      <c r="P24" s="4">
        <v>2</v>
      </c>
      <c r="Q24" s="1">
        <v>44.36</v>
      </c>
      <c r="R24" s="1">
        <v>22.13</v>
      </c>
      <c r="S24" s="8">
        <f t="shared" si="0"/>
        <v>66.489999999999995</v>
      </c>
      <c r="T24" s="8">
        <f t="shared" si="1"/>
        <v>38.593199999999996</v>
      </c>
      <c r="U24" s="8">
        <f t="shared" si="2"/>
        <v>19.2531</v>
      </c>
      <c r="V24" s="4" t="s">
        <v>232</v>
      </c>
      <c r="W24" s="4" t="s">
        <v>232</v>
      </c>
    </row>
    <row r="25" spans="1:23" s="4" customFormat="1" x14ac:dyDescent="0.25">
      <c r="A25" s="4" t="s">
        <v>67</v>
      </c>
      <c r="B25" s="5" t="s">
        <v>68</v>
      </c>
      <c r="C25" s="5" t="s">
        <v>18</v>
      </c>
      <c r="D25" s="5" t="s">
        <v>19</v>
      </c>
      <c r="E25" s="5">
        <v>2019</v>
      </c>
      <c r="F25" s="5">
        <v>3</v>
      </c>
      <c r="G25" s="5">
        <v>8</v>
      </c>
      <c r="H25" s="5">
        <v>141</v>
      </c>
      <c r="I25" s="4" t="s">
        <v>218</v>
      </c>
      <c r="K25" s="4" t="s">
        <v>223</v>
      </c>
      <c r="L25" s="4" t="s">
        <v>232</v>
      </c>
      <c r="M25" s="4" t="s">
        <v>232</v>
      </c>
      <c r="N25" s="6">
        <v>1010.7</v>
      </c>
      <c r="O25" s="6">
        <v>15.6</v>
      </c>
      <c r="P25" s="4">
        <v>2</v>
      </c>
      <c r="Q25" s="1">
        <v>43.83</v>
      </c>
      <c r="R25" s="1">
        <v>22.24</v>
      </c>
      <c r="S25" s="8">
        <f t="shared" si="0"/>
        <v>66.069999999999993</v>
      </c>
      <c r="T25" s="8">
        <f t="shared" si="1"/>
        <v>38.132100000000001</v>
      </c>
      <c r="U25" s="8">
        <f t="shared" si="2"/>
        <v>19.348799999999997</v>
      </c>
      <c r="V25" s="4" t="s">
        <v>232</v>
      </c>
      <c r="W25" s="4" t="s">
        <v>232</v>
      </c>
    </row>
    <row r="26" spans="1:23" s="4" customFormat="1" x14ac:dyDescent="0.25">
      <c r="A26" s="4" t="s">
        <v>117</v>
      </c>
      <c r="B26" s="5" t="s">
        <v>91</v>
      </c>
      <c r="C26" s="5" t="s">
        <v>18</v>
      </c>
      <c r="D26" s="5" t="s">
        <v>19</v>
      </c>
      <c r="E26" s="5">
        <v>2019</v>
      </c>
      <c r="F26" s="5">
        <v>1</v>
      </c>
      <c r="G26" s="5">
        <v>9</v>
      </c>
      <c r="H26" s="5">
        <v>3</v>
      </c>
      <c r="I26" s="4" t="s">
        <v>218</v>
      </c>
      <c r="J26" s="4">
        <v>30</v>
      </c>
      <c r="K26" s="4" t="s">
        <v>223</v>
      </c>
      <c r="L26" s="4">
        <v>1.5</v>
      </c>
      <c r="M26" s="4">
        <v>26</v>
      </c>
      <c r="N26" s="6">
        <v>1147</v>
      </c>
      <c r="O26" s="6">
        <v>15</v>
      </c>
      <c r="P26" s="4">
        <v>2.5</v>
      </c>
      <c r="Q26" s="1">
        <v>41.98</v>
      </c>
      <c r="R26" s="1">
        <v>22.68</v>
      </c>
      <c r="S26" s="8">
        <f t="shared" si="0"/>
        <v>64.66</v>
      </c>
      <c r="T26" s="8">
        <f t="shared" si="1"/>
        <v>36.522599999999997</v>
      </c>
      <c r="U26" s="8">
        <f t="shared" si="2"/>
        <v>19.7316</v>
      </c>
      <c r="V26" s="4" t="s">
        <v>232</v>
      </c>
      <c r="W26" s="4" t="s">
        <v>232</v>
      </c>
    </row>
    <row r="27" spans="1:23" s="4" customFormat="1" x14ac:dyDescent="0.25">
      <c r="A27" s="4" t="s">
        <v>90</v>
      </c>
      <c r="B27" s="5" t="s">
        <v>91</v>
      </c>
      <c r="C27" s="5" t="s">
        <v>18</v>
      </c>
      <c r="D27" s="5" t="s">
        <v>19</v>
      </c>
      <c r="E27" s="5">
        <v>2019</v>
      </c>
      <c r="F27" s="5">
        <v>2</v>
      </c>
      <c r="G27" s="5">
        <v>9</v>
      </c>
      <c r="H27" s="5">
        <v>82</v>
      </c>
      <c r="I27" s="4" t="s">
        <v>218</v>
      </c>
      <c r="J27" s="4">
        <v>30</v>
      </c>
      <c r="K27" s="4" t="s">
        <v>223</v>
      </c>
      <c r="L27" s="4">
        <v>1.5</v>
      </c>
      <c r="M27" s="4">
        <v>22</v>
      </c>
      <c r="N27" s="6">
        <v>1340.1</v>
      </c>
      <c r="O27" s="6">
        <v>16.8</v>
      </c>
      <c r="P27" s="4">
        <v>2.5</v>
      </c>
      <c r="Q27" s="1">
        <v>42.34</v>
      </c>
      <c r="R27" s="1">
        <v>21.91</v>
      </c>
      <c r="S27" s="8">
        <f t="shared" si="0"/>
        <v>64.25</v>
      </c>
      <c r="T27" s="8">
        <f t="shared" si="1"/>
        <v>36.835800000000006</v>
      </c>
      <c r="U27" s="8">
        <f t="shared" si="2"/>
        <v>19.061699999999998</v>
      </c>
      <c r="V27" s="4" t="s">
        <v>232</v>
      </c>
      <c r="W27" s="4" t="s">
        <v>232</v>
      </c>
    </row>
    <row r="28" spans="1:23" s="4" customFormat="1" x14ac:dyDescent="0.25">
      <c r="A28" s="4" t="s">
        <v>181</v>
      </c>
      <c r="B28" s="4" t="s">
        <v>91</v>
      </c>
      <c r="C28" s="4" t="s">
        <v>18</v>
      </c>
      <c r="D28" s="4" t="s">
        <v>19</v>
      </c>
      <c r="E28" s="4">
        <v>2019</v>
      </c>
      <c r="F28" s="4">
        <v>3</v>
      </c>
      <c r="G28" s="4">
        <v>9</v>
      </c>
      <c r="H28" s="4">
        <v>107</v>
      </c>
      <c r="I28" s="4" t="s">
        <v>218</v>
      </c>
      <c r="K28" s="4" t="s">
        <v>223</v>
      </c>
      <c r="L28" s="4" t="s">
        <v>232</v>
      </c>
      <c r="M28" s="4" t="s">
        <v>232</v>
      </c>
      <c r="N28" s="6">
        <v>1190.5</v>
      </c>
      <c r="O28" s="6">
        <v>15.1</v>
      </c>
      <c r="P28" s="4">
        <v>2.5</v>
      </c>
      <c r="Q28" s="1">
        <v>43.72</v>
      </c>
      <c r="R28" s="1">
        <v>21.9</v>
      </c>
      <c r="S28" s="8">
        <f t="shared" si="0"/>
        <v>65.62</v>
      </c>
      <c r="T28" s="8">
        <f t="shared" si="1"/>
        <v>38.0364</v>
      </c>
      <c r="U28" s="8">
        <f t="shared" si="2"/>
        <v>19.052999999999997</v>
      </c>
      <c r="V28" s="4" t="s">
        <v>232</v>
      </c>
      <c r="W28" s="4" t="s">
        <v>232</v>
      </c>
    </row>
    <row r="29" spans="1:23" s="4" customFormat="1" x14ac:dyDescent="0.25">
      <c r="A29" s="4" t="s">
        <v>206</v>
      </c>
      <c r="B29" s="4" t="s">
        <v>133</v>
      </c>
      <c r="C29" s="4" t="s">
        <v>18</v>
      </c>
      <c r="D29" s="4" t="s">
        <v>19</v>
      </c>
      <c r="E29" s="4">
        <v>2019</v>
      </c>
      <c r="F29" s="4">
        <v>1</v>
      </c>
      <c r="G29" s="4">
        <v>10</v>
      </c>
      <c r="H29" s="4">
        <v>35</v>
      </c>
      <c r="I29" s="4" t="s">
        <v>218</v>
      </c>
      <c r="J29" s="4">
        <v>30</v>
      </c>
      <c r="K29" s="4" t="s">
        <v>223</v>
      </c>
      <c r="L29" s="4">
        <v>1.5</v>
      </c>
      <c r="M29" s="4">
        <v>26</v>
      </c>
      <c r="N29" s="6">
        <v>1278.2</v>
      </c>
      <c r="O29" s="6">
        <v>16.399999999999999</v>
      </c>
      <c r="P29" s="4">
        <v>2.5</v>
      </c>
      <c r="Q29" s="1">
        <v>43.15</v>
      </c>
      <c r="R29" s="1">
        <v>22.17</v>
      </c>
      <c r="S29" s="8">
        <f t="shared" si="0"/>
        <v>65.319999999999993</v>
      </c>
      <c r="T29" s="8">
        <f t="shared" si="1"/>
        <v>37.540500000000002</v>
      </c>
      <c r="U29" s="8">
        <f t="shared" si="2"/>
        <v>19.2879</v>
      </c>
      <c r="V29" s="4" t="s">
        <v>232</v>
      </c>
      <c r="W29" s="4" t="s">
        <v>232</v>
      </c>
    </row>
    <row r="30" spans="1:23" s="4" customFormat="1" x14ac:dyDescent="0.25">
      <c r="A30" s="4" t="s">
        <v>132</v>
      </c>
      <c r="B30" s="5" t="s">
        <v>133</v>
      </c>
      <c r="C30" s="5" t="s">
        <v>18</v>
      </c>
      <c r="D30" s="5" t="s">
        <v>19</v>
      </c>
      <c r="E30" s="5">
        <v>2019</v>
      </c>
      <c r="F30" s="5">
        <v>2</v>
      </c>
      <c r="G30" s="5">
        <v>10</v>
      </c>
      <c r="H30" s="5">
        <v>73</v>
      </c>
      <c r="I30" s="4" t="s">
        <v>218</v>
      </c>
      <c r="J30" s="4">
        <v>30</v>
      </c>
      <c r="K30" s="4" t="s">
        <v>223</v>
      </c>
      <c r="L30" s="4">
        <v>1.5</v>
      </c>
      <c r="M30" s="4">
        <v>24</v>
      </c>
      <c r="N30" s="6">
        <v>1147</v>
      </c>
      <c r="O30" s="6">
        <v>16</v>
      </c>
      <c r="P30" s="4">
        <v>2.5</v>
      </c>
      <c r="Q30" s="1">
        <v>43.52</v>
      </c>
      <c r="R30" s="1">
        <v>21.89</v>
      </c>
      <c r="S30" s="8">
        <f t="shared" si="0"/>
        <v>65.41</v>
      </c>
      <c r="T30" s="8">
        <f t="shared" si="1"/>
        <v>37.862400000000001</v>
      </c>
      <c r="U30" s="8">
        <f t="shared" si="2"/>
        <v>19.0443</v>
      </c>
      <c r="V30" s="4" t="s">
        <v>232</v>
      </c>
      <c r="W30" s="4" t="s">
        <v>232</v>
      </c>
    </row>
    <row r="31" spans="1:23" s="4" customFormat="1" x14ac:dyDescent="0.25">
      <c r="A31" s="4" t="s">
        <v>165</v>
      </c>
      <c r="B31" s="5" t="s">
        <v>133</v>
      </c>
      <c r="C31" s="5" t="s">
        <v>18</v>
      </c>
      <c r="D31" s="5" t="s">
        <v>19</v>
      </c>
      <c r="E31" s="5">
        <v>2019</v>
      </c>
      <c r="F31" s="5">
        <v>3</v>
      </c>
      <c r="G31" s="5">
        <v>10</v>
      </c>
      <c r="H31" s="5">
        <v>134</v>
      </c>
      <c r="I31" s="4" t="s">
        <v>218</v>
      </c>
      <c r="K31" s="4" t="s">
        <v>223</v>
      </c>
      <c r="L31" s="4" t="s">
        <v>232</v>
      </c>
      <c r="M31" s="4" t="s">
        <v>232</v>
      </c>
      <c r="N31" s="6">
        <v>1027.5999999999999</v>
      </c>
      <c r="O31" s="6">
        <v>15.7</v>
      </c>
      <c r="P31" s="4">
        <v>2.5</v>
      </c>
      <c r="Q31" s="1">
        <v>43.28</v>
      </c>
      <c r="R31" s="1">
        <v>21.7</v>
      </c>
      <c r="S31" s="8">
        <f t="shared" si="0"/>
        <v>64.98</v>
      </c>
      <c r="T31" s="8">
        <f t="shared" si="1"/>
        <v>37.653599999999997</v>
      </c>
      <c r="U31" s="8">
        <f t="shared" si="2"/>
        <v>18.878999999999998</v>
      </c>
      <c r="V31" s="4" t="s">
        <v>232</v>
      </c>
      <c r="W31" s="4" t="s">
        <v>232</v>
      </c>
    </row>
    <row r="32" spans="1:23" s="4" customFormat="1" x14ac:dyDescent="0.25">
      <c r="A32" s="4" t="s">
        <v>116</v>
      </c>
      <c r="B32" s="5" t="s">
        <v>82</v>
      </c>
      <c r="C32" s="5" t="s">
        <v>18</v>
      </c>
      <c r="D32" s="5" t="s">
        <v>19</v>
      </c>
      <c r="E32" s="5">
        <v>2019</v>
      </c>
      <c r="F32" s="5">
        <v>1</v>
      </c>
      <c r="G32" s="5">
        <v>11</v>
      </c>
      <c r="H32" s="5">
        <v>2</v>
      </c>
      <c r="I32" s="4" t="s">
        <v>218</v>
      </c>
      <c r="J32" s="4">
        <v>30</v>
      </c>
      <c r="K32" s="4" t="s">
        <v>223</v>
      </c>
      <c r="L32" s="4">
        <v>1.5</v>
      </c>
      <c r="M32" s="4">
        <v>24</v>
      </c>
      <c r="N32" s="6">
        <v>1219</v>
      </c>
      <c r="O32" s="6">
        <v>16.3</v>
      </c>
      <c r="P32" s="4">
        <v>2.5</v>
      </c>
      <c r="Q32" s="1">
        <v>42.36</v>
      </c>
      <c r="R32" s="1">
        <v>22.52</v>
      </c>
      <c r="S32" s="8">
        <f t="shared" si="0"/>
        <v>64.88</v>
      </c>
      <c r="T32" s="8">
        <f t="shared" si="1"/>
        <v>36.853200000000001</v>
      </c>
      <c r="U32" s="8">
        <f t="shared" si="2"/>
        <v>19.592399999999998</v>
      </c>
      <c r="V32" s="4" t="s">
        <v>232</v>
      </c>
      <c r="W32" s="4" t="s">
        <v>232</v>
      </c>
    </row>
    <row r="33" spans="1:23" s="4" customFormat="1" x14ac:dyDescent="0.25">
      <c r="A33" s="4" t="s">
        <v>81</v>
      </c>
      <c r="B33" s="5" t="s">
        <v>82</v>
      </c>
      <c r="C33" s="5" t="s">
        <v>18</v>
      </c>
      <c r="D33" s="5" t="s">
        <v>19</v>
      </c>
      <c r="E33" s="5">
        <v>2019</v>
      </c>
      <c r="F33" s="5">
        <v>2</v>
      </c>
      <c r="G33" s="5">
        <v>11</v>
      </c>
      <c r="H33" s="5">
        <v>92</v>
      </c>
      <c r="I33" s="4" t="s">
        <v>218</v>
      </c>
      <c r="J33" s="4">
        <v>31</v>
      </c>
      <c r="K33" s="4" t="s">
        <v>223</v>
      </c>
      <c r="L33" s="4">
        <v>2</v>
      </c>
      <c r="M33" s="4">
        <v>32</v>
      </c>
      <c r="N33" s="6">
        <v>1317.4</v>
      </c>
      <c r="O33" s="6">
        <v>16.8</v>
      </c>
      <c r="P33" s="4">
        <v>2</v>
      </c>
      <c r="Q33" s="1">
        <v>43.93</v>
      </c>
      <c r="R33" s="1">
        <v>21.84</v>
      </c>
      <c r="S33" s="8">
        <f t="shared" si="0"/>
        <v>65.77</v>
      </c>
      <c r="T33" s="8">
        <f t="shared" si="1"/>
        <v>38.219099999999997</v>
      </c>
      <c r="U33" s="8">
        <f t="shared" si="2"/>
        <v>19.000799999999998</v>
      </c>
      <c r="V33" s="4" t="s">
        <v>232</v>
      </c>
      <c r="W33" s="4" t="s">
        <v>232</v>
      </c>
    </row>
    <row r="34" spans="1:23" s="4" customFormat="1" x14ac:dyDescent="0.25">
      <c r="A34" s="4" t="s">
        <v>196</v>
      </c>
      <c r="B34" s="4" t="s">
        <v>82</v>
      </c>
      <c r="C34" s="4" t="s">
        <v>18</v>
      </c>
      <c r="D34" s="4" t="s">
        <v>19</v>
      </c>
      <c r="E34" s="4">
        <v>2019</v>
      </c>
      <c r="F34" s="4">
        <v>3</v>
      </c>
      <c r="G34" s="4">
        <v>11</v>
      </c>
      <c r="H34" s="4">
        <v>115</v>
      </c>
      <c r="I34" s="4" t="s">
        <v>218</v>
      </c>
      <c r="K34" s="4" t="s">
        <v>223</v>
      </c>
      <c r="L34" s="4" t="s">
        <v>232</v>
      </c>
      <c r="M34" s="4" t="s">
        <v>232</v>
      </c>
      <c r="N34" s="6">
        <v>1221.4000000000001</v>
      </c>
      <c r="O34" s="6">
        <v>15.7</v>
      </c>
      <c r="P34" s="4">
        <v>2.5</v>
      </c>
      <c r="Q34" s="1">
        <v>42.31</v>
      </c>
      <c r="R34" s="1">
        <v>21.84</v>
      </c>
      <c r="S34" s="8">
        <f t="shared" si="0"/>
        <v>64.150000000000006</v>
      </c>
      <c r="T34" s="8">
        <f t="shared" si="1"/>
        <v>36.809699999999999</v>
      </c>
      <c r="U34" s="8">
        <f t="shared" si="2"/>
        <v>19.000799999999998</v>
      </c>
      <c r="V34" s="4" t="s">
        <v>232</v>
      </c>
      <c r="W34" s="4" t="s">
        <v>232</v>
      </c>
    </row>
    <row r="35" spans="1:23" s="4" customFormat="1" x14ac:dyDescent="0.25">
      <c r="A35" s="4" t="s">
        <v>180</v>
      </c>
      <c r="B35" s="4" t="s">
        <v>35</v>
      </c>
      <c r="C35" s="4" t="s">
        <v>18</v>
      </c>
      <c r="D35" s="4" t="s">
        <v>19</v>
      </c>
      <c r="E35" s="4">
        <v>2019</v>
      </c>
      <c r="F35" s="4">
        <v>1</v>
      </c>
      <c r="G35" s="4">
        <v>12</v>
      </c>
      <c r="H35" s="4">
        <v>14</v>
      </c>
      <c r="I35" s="4" t="s">
        <v>218</v>
      </c>
      <c r="J35" s="4">
        <v>32</v>
      </c>
      <c r="K35" s="4" t="s">
        <v>223</v>
      </c>
      <c r="L35" s="4">
        <v>1.5</v>
      </c>
      <c r="M35" s="4">
        <v>26</v>
      </c>
      <c r="N35" s="6">
        <v>1119.8</v>
      </c>
      <c r="O35" s="6">
        <v>14.3</v>
      </c>
      <c r="P35" s="4">
        <v>2.5</v>
      </c>
      <c r="Q35" s="1">
        <v>43.17</v>
      </c>
      <c r="R35" s="1">
        <v>22.65</v>
      </c>
      <c r="S35" s="8">
        <f t="shared" si="0"/>
        <v>65.819999999999993</v>
      </c>
      <c r="T35" s="8">
        <f t="shared" si="1"/>
        <v>37.557900000000004</v>
      </c>
      <c r="U35" s="8">
        <f t="shared" si="2"/>
        <v>19.705499999999997</v>
      </c>
      <c r="V35" s="4" t="s">
        <v>232</v>
      </c>
      <c r="W35" s="4" t="s">
        <v>232</v>
      </c>
    </row>
    <row r="36" spans="1:23" s="4" customFormat="1" x14ac:dyDescent="0.25">
      <c r="A36" s="4" t="s">
        <v>95</v>
      </c>
      <c r="B36" s="5" t="s">
        <v>35</v>
      </c>
      <c r="C36" s="5" t="s">
        <v>18</v>
      </c>
      <c r="D36" s="5" t="s">
        <v>19</v>
      </c>
      <c r="E36" s="5">
        <v>2019</v>
      </c>
      <c r="F36" s="5">
        <v>2</v>
      </c>
      <c r="G36" s="5">
        <v>12</v>
      </c>
      <c r="H36" s="5">
        <v>79</v>
      </c>
      <c r="I36" s="4" t="s">
        <v>218</v>
      </c>
      <c r="J36" s="4">
        <v>31</v>
      </c>
      <c r="K36" s="4" t="s">
        <v>223</v>
      </c>
      <c r="L36" s="4">
        <v>1.5</v>
      </c>
      <c r="M36" s="4">
        <v>27</v>
      </c>
      <c r="N36" s="6">
        <v>1235.9000000000001</v>
      </c>
      <c r="O36" s="6">
        <v>16.399999999999999</v>
      </c>
      <c r="P36" s="4">
        <v>2.5</v>
      </c>
      <c r="Q36" s="1">
        <v>44.04</v>
      </c>
      <c r="R36" s="1">
        <v>21.45</v>
      </c>
      <c r="S36" s="8">
        <f t="shared" si="0"/>
        <v>65.489999999999995</v>
      </c>
      <c r="T36" s="8">
        <f t="shared" si="1"/>
        <v>38.314799999999998</v>
      </c>
      <c r="U36" s="8">
        <f t="shared" si="2"/>
        <v>18.6615</v>
      </c>
      <c r="V36" s="4" t="s">
        <v>232</v>
      </c>
      <c r="W36" s="4" t="s">
        <v>232</v>
      </c>
    </row>
    <row r="37" spans="1:23" s="4" customFormat="1" x14ac:dyDescent="0.25">
      <c r="A37" s="4" t="s">
        <v>34</v>
      </c>
      <c r="B37" s="5" t="s">
        <v>35</v>
      </c>
      <c r="C37" s="5" t="s">
        <v>18</v>
      </c>
      <c r="D37" s="5" t="s">
        <v>19</v>
      </c>
      <c r="E37" s="5">
        <v>2019</v>
      </c>
      <c r="F37" s="5">
        <v>3</v>
      </c>
      <c r="G37" s="5">
        <v>12</v>
      </c>
      <c r="H37" s="5">
        <v>111</v>
      </c>
      <c r="I37" s="4" t="s">
        <v>218</v>
      </c>
      <c r="K37" s="4" t="s">
        <v>223</v>
      </c>
      <c r="L37" s="4" t="s">
        <v>232</v>
      </c>
      <c r="M37" s="4" t="s">
        <v>232</v>
      </c>
      <c r="N37" s="6">
        <v>1015.5</v>
      </c>
      <c r="O37" s="6">
        <v>17.399999999999999</v>
      </c>
      <c r="P37" s="4">
        <v>3</v>
      </c>
      <c r="Q37" s="1">
        <v>45.07</v>
      </c>
      <c r="R37" s="1">
        <v>21.91</v>
      </c>
      <c r="S37" s="8">
        <f t="shared" si="0"/>
        <v>66.98</v>
      </c>
      <c r="T37" s="8">
        <f t="shared" si="1"/>
        <v>39.210900000000002</v>
      </c>
      <c r="U37" s="8">
        <f t="shared" si="2"/>
        <v>19.061699999999998</v>
      </c>
      <c r="V37" s="4" t="s">
        <v>232</v>
      </c>
      <c r="W37" s="4" t="s">
        <v>232</v>
      </c>
    </row>
    <row r="38" spans="1:23" s="4" customFormat="1" x14ac:dyDescent="0.25">
      <c r="A38" s="4" t="s">
        <v>24</v>
      </c>
      <c r="B38" s="5" t="s">
        <v>25</v>
      </c>
      <c r="C38" s="5" t="s">
        <v>18</v>
      </c>
      <c r="D38" s="5" t="s">
        <v>19</v>
      </c>
      <c r="E38" s="5">
        <v>2019</v>
      </c>
      <c r="F38" s="5">
        <v>1</v>
      </c>
      <c r="G38" s="5">
        <v>13</v>
      </c>
      <c r="H38" s="5">
        <v>10</v>
      </c>
      <c r="I38" s="4" t="s">
        <v>218</v>
      </c>
      <c r="J38" s="4">
        <v>33</v>
      </c>
      <c r="K38" s="4" t="s">
        <v>223</v>
      </c>
      <c r="L38" s="4">
        <v>1.5</v>
      </c>
      <c r="M38" s="4">
        <v>24</v>
      </c>
      <c r="N38" s="6">
        <v>1026.9000000000001</v>
      </c>
      <c r="O38" s="6">
        <v>17.2</v>
      </c>
      <c r="P38" s="4">
        <v>2</v>
      </c>
      <c r="Q38" s="1">
        <v>42.95</v>
      </c>
      <c r="R38" s="1">
        <v>22.18</v>
      </c>
      <c r="S38" s="8">
        <f t="shared" si="0"/>
        <v>65.13</v>
      </c>
      <c r="T38" s="8">
        <f t="shared" si="1"/>
        <v>37.366500000000002</v>
      </c>
      <c r="U38" s="8">
        <f t="shared" si="2"/>
        <v>19.296599999999998</v>
      </c>
      <c r="V38" s="4" t="s">
        <v>232</v>
      </c>
      <c r="W38" s="4" t="s">
        <v>232</v>
      </c>
    </row>
    <row r="39" spans="1:23" s="4" customFormat="1" x14ac:dyDescent="0.25">
      <c r="A39" s="4" t="s">
        <v>173</v>
      </c>
      <c r="B39" s="4" t="s">
        <v>25</v>
      </c>
      <c r="C39" s="4" t="s">
        <v>18</v>
      </c>
      <c r="D39" s="4" t="s">
        <v>19</v>
      </c>
      <c r="E39" s="4">
        <v>2019</v>
      </c>
      <c r="F39" s="4">
        <v>2</v>
      </c>
      <c r="G39" s="4">
        <v>13</v>
      </c>
      <c r="H39" s="4">
        <v>74</v>
      </c>
      <c r="I39" s="4" t="s">
        <v>218</v>
      </c>
      <c r="J39" s="4">
        <v>31</v>
      </c>
      <c r="K39" s="4" t="s">
        <v>223</v>
      </c>
      <c r="L39" s="4">
        <v>1</v>
      </c>
      <c r="M39" s="4">
        <v>22</v>
      </c>
      <c r="N39" s="6">
        <v>1231.0999999999999</v>
      </c>
      <c r="O39" s="6">
        <v>17.399999999999999</v>
      </c>
      <c r="P39" s="4">
        <v>2</v>
      </c>
      <c r="Q39" s="1">
        <v>44.46</v>
      </c>
      <c r="R39" s="1">
        <v>21.69</v>
      </c>
      <c r="S39" s="8">
        <f t="shared" si="0"/>
        <v>66.150000000000006</v>
      </c>
      <c r="T39" s="8">
        <f t="shared" si="1"/>
        <v>38.680199999999999</v>
      </c>
      <c r="U39" s="8">
        <f t="shared" si="2"/>
        <v>18.8703</v>
      </c>
      <c r="V39" s="4" t="s">
        <v>232</v>
      </c>
      <c r="W39" s="4" t="s">
        <v>232</v>
      </c>
    </row>
    <row r="40" spans="1:23" s="4" customFormat="1" x14ac:dyDescent="0.25">
      <c r="A40" s="4" t="s">
        <v>130</v>
      </c>
      <c r="B40" s="5" t="s">
        <v>25</v>
      </c>
      <c r="C40" s="5" t="s">
        <v>18</v>
      </c>
      <c r="D40" s="5" t="s">
        <v>19</v>
      </c>
      <c r="E40" s="5">
        <v>2019</v>
      </c>
      <c r="F40" s="5">
        <v>3</v>
      </c>
      <c r="G40" s="5">
        <v>13</v>
      </c>
      <c r="H40" s="5">
        <v>118</v>
      </c>
      <c r="I40" s="4" t="s">
        <v>218</v>
      </c>
      <c r="K40" s="4" t="s">
        <v>223</v>
      </c>
      <c r="L40" s="4" t="s">
        <v>232</v>
      </c>
      <c r="M40" s="4" t="s">
        <v>232</v>
      </c>
      <c r="N40" s="6">
        <v>968.4</v>
      </c>
      <c r="O40" s="6">
        <v>16.899999999999999</v>
      </c>
      <c r="P40" s="4">
        <v>2.5</v>
      </c>
      <c r="Q40" s="1">
        <v>45.12</v>
      </c>
      <c r="R40" s="1">
        <v>21.21</v>
      </c>
      <c r="S40" s="8">
        <f t="shared" si="0"/>
        <v>66.33</v>
      </c>
      <c r="T40" s="8">
        <f t="shared" si="1"/>
        <v>39.254399999999997</v>
      </c>
      <c r="U40" s="8">
        <f t="shared" si="2"/>
        <v>18.4527</v>
      </c>
      <c r="V40" s="4" t="s">
        <v>232</v>
      </c>
      <c r="W40" s="4" t="s">
        <v>232</v>
      </c>
    </row>
    <row r="41" spans="1:23" s="4" customFormat="1" x14ac:dyDescent="0.25">
      <c r="A41" s="4" t="s">
        <v>125</v>
      </c>
      <c r="B41" s="5" t="s">
        <v>123</v>
      </c>
      <c r="C41" s="5" t="s">
        <v>18</v>
      </c>
      <c r="D41" s="5" t="s">
        <v>19</v>
      </c>
      <c r="E41" s="5">
        <v>2019</v>
      </c>
      <c r="F41" s="5">
        <v>1</v>
      </c>
      <c r="G41" s="5">
        <v>14</v>
      </c>
      <c r="H41" s="5">
        <v>13</v>
      </c>
      <c r="I41" s="4" t="s">
        <v>218</v>
      </c>
      <c r="J41" s="4">
        <v>33</v>
      </c>
      <c r="K41" s="4" t="s">
        <v>223</v>
      </c>
      <c r="L41" s="4">
        <v>1.5</v>
      </c>
      <c r="M41" s="4">
        <v>28</v>
      </c>
      <c r="N41" s="6">
        <v>1382.2</v>
      </c>
      <c r="O41" s="6">
        <v>15.8</v>
      </c>
      <c r="P41" s="4">
        <v>2.5</v>
      </c>
      <c r="Q41" s="1">
        <v>43.33</v>
      </c>
      <c r="R41" s="1">
        <v>21.76</v>
      </c>
      <c r="S41" s="8">
        <f t="shared" si="0"/>
        <v>65.09</v>
      </c>
      <c r="T41" s="8">
        <f t="shared" si="1"/>
        <v>37.697099999999999</v>
      </c>
      <c r="U41" s="8">
        <f t="shared" si="2"/>
        <v>18.9312</v>
      </c>
      <c r="V41" s="4" t="s">
        <v>232</v>
      </c>
      <c r="W41" s="4" t="s">
        <v>232</v>
      </c>
    </row>
    <row r="42" spans="1:23" s="4" customFormat="1" x14ac:dyDescent="0.25">
      <c r="A42" s="4" t="s">
        <v>122</v>
      </c>
      <c r="B42" s="5" t="s">
        <v>123</v>
      </c>
      <c r="C42" s="5" t="s">
        <v>18</v>
      </c>
      <c r="D42" s="5" t="s">
        <v>19</v>
      </c>
      <c r="E42" s="5">
        <v>2019</v>
      </c>
      <c r="F42" s="5">
        <v>2</v>
      </c>
      <c r="G42" s="5">
        <v>14</v>
      </c>
      <c r="H42" s="5">
        <v>58</v>
      </c>
      <c r="I42" s="4" t="s">
        <v>218</v>
      </c>
      <c r="J42" s="4">
        <v>31</v>
      </c>
      <c r="K42" s="4" t="s">
        <v>223</v>
      </c>
      <c r="L42" s="4">
        <v>1.5</v>
      </c>
      <c r="M42" s="4">
        <v>30</v>
      </c>
      <c r="N42" s="6">
        <v>1157.2</v>
      </c>
      <c r="O42" s="6">
        <v>17.2</v>
      </c>
      <c r="P42" s="4">
        <v>2</v>
      </c>
      <c r="Q42" s="1">
        <v>42.95</v>
      </c>
      <c r="R42" s="1">
        <v>21.96</v>
      </c>
      <c r="S42" s="8">
        <f t="shared" si="0"/>
        <v>64.91</v>
      </c>
      <c r="T42" s="8">
        <f t="shared" si="1"/>
        <v>37.366500000000002</v>
      </c>
      <c r="U42" s="8">
        <f t="shared" si="2"/>
        <v>19.1052</v>
      </c>
      <c r="V42" s="4" t="s">
        <v>232</v>
      </c>
      <c r="W42" s="4" t="s">
        <v>232</v>
      </c>
    </row>
    <row r="43" spans="1:23" s="4" customFormat="1" x14ac:dyDescent="0.25">
      <c r="A43" s="4" t="s">
        <v>154</v>
      </c>
      <c r="B43" s="5" t="s">
        <v>123</v>
      </c>
      <c r="C43" s="5" t="s">
        <v>18</v>
      </c>
      <c r="D43" s="5" t="s">
        <v>19</v>
      </c>
      <c r="E43" s="5">
        <v>2019</v>
      </c>
      <c r="F43" s="5">
        <v>3</v>
      </c>
      <c r="G43" s="5">
        <v>14</v>
      </c>
      <c r="H43" s="5">
        <v>147</v>
      </c>
      <c r="I43" s="4" t="s">
        <v>218</v>
      </c>
      <c r="K43" s="4" t="s">
        <v>223</v>
      </c>
      <c r="L43" s="4" t="s">
        <v>232</v>
      </c>
      <c r="M43" s="4" t="s">
        <v>232</v>
      </c>
      <c r="N43" s="6">
        <v>713</v>
      </c>
      <c r="O43" s="6">
        <v>16.3</v>
      </c>
      <c r="P43" s="4">
        <v>2</v>
      </c>
      <c r="Q43" s="1">
        <v>45.84</v>
      </c>
      <c r="R43" s="1">
        <v>21.21</v>
      </c>
      <c r="S43" s="8">
        <f t="shared" si="0"/>
        <v>67.050000000000011</v>
      </c>
      <c r="T43" s="8">
        <f t="shared" si="1"/>
        <v>39.880800000000001</v>
      </c>
      <c r="U43" s="8">
        <f t="shared" si="2"/>
        <v>18.4527</v>
      </c>
      <c r="V43" s="4" t="s">
        <v>232</v>
      </c>
      <c r="W43" s="4" t="s">
        <v>232</v>
      </c>
    </row>
    <row r="44" spans="1:23" s="4" customFormat="1" x14ac:dyDescent="0.25">
      <c r="A44" s="4" t="s">
        <v>150</v>
      </c>
      <c r="B44" s="5" t="s">
        <v>89</v>
      </c>
      <c r="C44" s="5" t="s">
        <v>18</v>
      </c>
      <c r="D44" s="5" t="s">
        <v>19</v>
      </c>
      <c r="E44" s="5">
        <v>2019</v>
      </c>
      <c r="F44" s="5">
        <v>1</v>
      </c>
      <c r="G44" s="5">
        <v>15</v>
      </c>
      <c r="H44" s="5">
        <v>48</v>
      </c>
      <c r="I44" s="4" t="s">
        <v>218</v>
      </c>
      <c r="J44" s="4">
        <v>33</v>
      </c>
      <c r="K44" s="4" t="s">
        <v>223</v>
      </c>
      <c r="L44" s="4">
        <v>1.5</v>
      </c>
      <c r="M44" s="4">
        <v>28</v>
      </c>
      <c r="N44" s="6">
        <v>1101.7</v>
      </c>
      <c r="O44" s="6">
        <v>20</v>
      </c>
      <c r="P44" s="4">
        <v>1.5</v>
      </c>
      <c r="Q44" s="1">
        <v>46.01</v>
      </c>
      <c r="R44" s="1">
        <v>22.13</v>
      </c>
      <c r="S44" s="8">
        <f t="shared" si="0"/>
        <v>68.14</v>
      </c>
      <c r="T44" s="8">
        <f t="shared" si="1"/>
        <v>40.028700000000001</v>
      </c>
      <c r="U44" s="8">
        <f t="shared" si="2"/>
        <v>19.2531</v>
      </c>
      <c r="V44" s="4" t="s">
        <v>232</v>
      </c>
      <c r="W44" s="4" t="s">
        <v>232</v>
      </c>
    </row>
    <row r="45" spans="1:23" s="4" customFormat="1" x14ac:dyDescent="0.25">
      <c r="A45" s="4" t="s">
        <v>201</v>
      </c>
      <c r="B45" s="4" t="s">
        <v>89</v>
      </c>
      <c r="C45" s="4" t="s">
        <v>18</v>
      </c>
      <c r="D45" s="4" t="s">
        <v>19</v>
      </c>
      <c r="E45" s="4">
        <v>2019</v>
      </c>
      <c r="F45" s="4">
        <v>2</v>
      </c>
      <c r="G45" s="4">
        <v>15</v>
      </c>
      <c r="H45" s="4">
        <v>75</v>
      </c>
      <c r="I45" s="4" t="s">
        <v>218</v>
      </c>
      <c r="J45" s="4">
        <v>34</v>
      </c>
      <c r="K45" s="4" t="s">
        <v>223</v>
      </c>
      <c r="L45" s="4">
        <v>1.5</v>
      </c>
      <c r="M45" s="4">
        <v>26</v>
      </c>
      <c r="N45" s="6">
        <v>1251.3</v>
      </c>
      <c r="O45" s="6">
        <v>19.600000000000001</v>
      </c>
      <c r="P45" s="4">
        <v>1.5</v>
      </c>
      <c r="Q45" s="1">
        <v>45.02</v>
      </c>
      <c r="R45" s="1">
        <v>21.86</v>
      </c>
      <c r="S45" s="8">
        <f t="shared" si="0"/>
        <v>66.88</v>
      </c>
      <c r="T45" s="8">
        <f t="shared" si="1"/>
        <v>39.167400000000001</v>
      </c>
      <c r="U45" s="8">
        <f t="shared" si="2"/>
        <v>19.0182</v>
      </c>
      <c r="V45" s="4" t="s">
        <v>232</v>
      </c>
      <c r="W45" s="4" t="s">
        <v>232</v>
      </c>
    </row>
    <row r="46" spans="1:23" s="4" customFormat="1" x14ac:dyDescent="0.25">
      <c r="A46" s="4" t="s">
        <v>88</v>
      </c>
      <c r="B46" s="5" t="s">
        <v>89</v>
      </c>
      <c r="C46" s="5" t="s">
        <v>18</v>
      </c>
      <c r="D46" s="5" t="s">
        <v>19</v>
      </c>
      <c r="E46" s="5">
        <v>2019</v>
      </c>
      <c r="F46" s="5">
        <v>3</v>
      </c>
      <c r="G46" s="5">
        <v>15</v>
      </c>
      <c r="H46" s="5">
        <v>132</v>
      </c>
      <c r="I46" s="4" t="s">
        <v>218</v>
      </c>
      <c r="K46" s="4" t="s">
        <v>223</v>
      </c>
      <c r="L46" s="4" t="s">
        <v>232</v>
      </c>
      <c r="M46" s="4" t="s">
        <v>232</v>
      </c>
      <c r="N46" s="6">
        <v>460.1</v>
      </c>
      <c r="O46" s="6">
        <v>17.8</v>
      </c>
      <c r="P46" s="4">
        <v>2.5</v>
      </c>
      <c r="Q46" s="1">
        <v>45.85</v>
      </c>
      <c r="R46" s="1">
        <v>21.67</v>
      </c>
      <c r="S46" s="8">
        <f t="shared" si="0"/>
        <v>67.52000000000001</v>
      </c>
      <c r="T46" s="8">
        <f t="shared" si="1"/>
        <v>39.889499999999998</v>
      </c>
      <c r="U46" s="8">
        <f t="shared" si="2"/>
        <v>18.852900000000002</v>
      </c>
      <c r="V46" s="4" t="s">
        <v>232</v>
      </c>
      <c r="W46" s="4" t="s">
        <v>232</v>
      </c>
    </row>
    <row r="47" spans="1:23" s="4" customFormat="1" x14ac:dyDescent="0.25">
      <c r="A47" s="4" t="s">
        <v>107</v>
      </c>
      <c r="B47" s="5" t="s">
        <v>108</v>
      </c>
      <c r="C47" s="5" t="s">
        <v>18</v>
      </c>
      <c r="D47" s="5" t="s">
        <v>19</v>
      </c>
      <c r="E47" s="5">
        <v>2019</v>
      </c>
      <c r="F47" s="5">
        <v>1</v>
      </c>
      <c r="G47" s="5">
        <v>16</v>
      </c>
      <c r="H47" s="5">
        <v>12</v>
      </c>
      <c r="I47" s="4" t="s">
        <v>218</v>
      </c>
      <c r="J47" s="4">
        <v>34</v>
      </c>
      <c r="K47" s="4" t="s">
        <v>223</v>
      </c>
      <c r="L47" s="4">
        <v>1</v>
      </c>
      <c r="M47" s="4">
        <v>26</v>
      </c>
      <c r="N47" s="6">
        <v>935.5</v>
      </c>
      <c r="O47" s="6">
        <v>19.3</v>
      </c>
      <c r="P47" s="4">
        <v>3</v>
      </c>
      <c r="Q47" s="1">
        <v>45.13</v>
      </c>
      <c r="R47" s="1">
        <v>21.26</v>
      </c>
      <c r="S47" s="8">
        <f t="shared" si="0"/>
        <v>66.39</v>
      </c>
      <c r="T47" s="8">
        <f t="shared" si="1"/>
        <v>39.263100000000001</v>
      </c>
      <c r="U47" s="8">
        <f t="shared" si="2"/>
        <v>18.496200000000002</v>
      </c>
      <c r="V47" s="4" t="s">
        <v>232</v>
      </c>
      <c r="W47" s="4" t="s">
        <v>230</v>
      </c>
    </row>
    <row r="48" spans="1:23" s="4" customFormat="1" x14ac:dyDescent="0.25">
      <c r="A48" s="4" t="s">
        <v>159</v>
      </c>
      <c r="B48" s="5" t="s">
        <v>108</v>
      </c>
      <c r="C48" s="5" t="s">
        <v>18</v>
      </c>
      <c r="D48" s="5" t="s">
        <v>19</v>
      </c>
      <c r="E48" s="5">
        <v>2019</v>
      </c>
      <c r="F48" s="5">
        <v>2</v>
      </c>
      <c r="G48" s="5">
        <v>16</v>
      </c>
      <c r="H48" s="5">
        <v>94</v>
      </c>
      <c r="I48" s="4" t="s">
        <v>218</v>
      </c>
      <c r="J48" s="4">
        <v>36</v>
      </c>
      <c r="K48" s="4" t="s">
        <v>223</v>
      </c>
      <c r="L48" s="4">
        <v>1</v>
      </c>
      <c r="M48" s="4">
        <v>25</v>
      </c>
      <c r="N48" s="6">
        <v>893.3</v>
      </c>
      <c r="O48" s="6">
        <v>21.4</v>
      </c>
      <c r="P48" s="4">
        <v>3</v>
      </c>
      <c r="Q48" s="1">
        <v>46.2</v>
      </c>
      <c r="R48" s="1">
        <v>21.38</v>
      </c>
      <c r="S48" s="8">
        <f t="shared" si="0"/>
        <v>67.58</v>
      </c>
      <c r="T48" s="8">
        <f t="shared" si="1"/>
        <v>40.194000000000003</v>
      </c>
      <c r="U48" s="8">
        <f t="shared" si="2"/>
        <v>18.6006</v>
      </c>
      <c r="V48" s="4" t="s">
        <v>232</v>
      </c>
      <c r="W48" s="4" t="s">
        <v>232</v>
      </c>
    </row>
    <row r="49" spans="1:23" s="4" customFormat="1" x14ac:dyDescent="0.25">
      <c r="A49" s="4" t="s">
        <v>124</v>
      </c>
      <c r="B49" s="5" t="s">
        <v>108</v>
      </c>
      <c r="C49" s="5" t="s">
        <v>18</v>
      </c>
      <c r="D49" s="5" t="s">
        <v>19</v>
      </c>
      <c r="E49" s="5">
        <v>2019</v>
      </c>
      <c r="F49" s="5">
        <v>3</v>
      </c>
      <c r="G49" s="5">
        <v>16</v>
      </c>
      <c r="H49" s="5">
        <v>108</v>
      </c>
      <c r="I49" s="4" t="s">
        <v>218</v>
      </c>
      <c r="K49" s="4" t="s">
        <v>223</v>
      </c>
      <c r="L49" s="4" t="s">
        <v>232</v>
      </c>
      <c r="M49" s="4" t="s">
        <v>232</v>
      </c>
      <c r="N49" s="6">
        <v>934</v>
      </c>
      <c r="O49" s="6">
        <v>18.899999999999999</v>
      </c>
      <c r="P49" s="4">
        <v>3</v>
      </c>
      <c r="Q49" s="1">
        <v>45.86</v>
      </c>
      <c r="R49" s="1">
        <v>21.81</v>
      </c>
      <c r="S49" s="8">
        <f t="shared" si="0"/>
        <v>67.67</v>
      </c>
      <c r="T49" s="8">
        <f t="shared" si="1"/>
        <v>39.898200000000003</v>
      </c>
      <c r="U49" s="8">
        <f t="shared" si="2"/>
        <v>18.974699999999999</v>
      </c>
      <c r="V49" s="4" t="s">
        <v>232</v>
      </c>
      <c r="W49" s="4" t="s">
        <v>232</v>
      </c>
    </row>
    <row r="50" spans="1:23" s="4" customFormat="1" x14ac:dyDescent="0.25">
      <c r="A50" s="4" t="s">
        <v>113</v>
      </c>
      <c r="B50" s="5" t="s">
        <v>112</v>
      </c>
      <c r="C50" s="5" t="s">
        <v>18</v>
      </c>
      <c r="D50" s="5" t="s">
        <v>19</v>
      </c>
      <c r="E50" s="5">
        <v>2019</v>
      </c>
      <c r="F50" s="5">
        <v>1</v>
      </c>
      <c r="G50" s="5">
        <v>17</v>
      </c>
      <c r="H50" s="5">
        <v>9</v>
      </c>
      <c r="I50" s="4" t="s">
        <v>218</v>
      </c>
      <c r="J50" s="4">
        <v>33</v>
      </c>
      <c r="K50" s="4" t="s">
        <v>223</v>
      </c>
      <c r="L50" s="4">
        <v>1.5</v>
      </c>
      <c r="M50" s="4">
        <v>26</v>
      </c>
      <c r="N50" s="6">
        <v>1076</v>
      </c>
      <c r="O50" s="6">
        <v>18.399999999999999</v>
      </c>
      <c r="P50" s="4">
        <v>3</v>
      </c>
      <c r="Q50" s="1">
        <v>45.91</v>
      </c>
      <c r="R50" s="1">
        <v>20.58</v>
      </c>
      <c r="S50" s="8">
        <f t="shared" si="0"/>
        <v>66.489999999999995</v>
      </c>
      <c r="T50" s="8">
        <f t="shared" si="1"/>
        <v>39.941699999999997</v>
      </c>
      <c r="U50" s="8">
        <f t="shared" si="2"/>
        <v>17.904599999999999</v>
      </c>
      <c r="V50" s="4" t="s">
        <v>232</v>
      </c>
      <c r="W50" s="4" t="s">
        <v>232</v>
      </c>
    </row>
    <row r="51" spans="1:23" s="4" customFormat="1" x14ac:dyDescent="0.25">
      <c r="A51" s="4" t="s">
        <v>111</v>
      </c>
      <c r="B51" s="5" t="s">
        <v>112</v>
      </c>
      <c r="C51" s="5" t="s">
        <v>18</v>
      </c>
      <c r="D51" s="5" t="s">
        <v>19</v>
      </c>
      <c r="E51" s="5">
        <v>2019</v>
      </c>
      <c r="F51" s="5">
        <v>2</v>
      </c>
      <c r="G51" s="5">
        <v>17</v>
      </c>
      <c r="H51" s="5">
        <v>59</v>
      </c>
      <c r="I51" s="4" t="s">
        <v>218</v>
      </c>
      <c r="J51" s="4">
        <v>30</v>
      </c>
      <c r="K51" s="4" t="s">
        <v>223</v>
      </c>
      <c r="L51" s="4">
        <v>2</v>
      </c>
      <c r="M51" s="4">
        <v>32</v>
      </c>
      <c r="N51" s="6">
        <v>1077.0999999999999</v>
      </c>
      <c r="O51" s="6">
        <v>18.399999999999999</v>
      </c>
      <c r="P51" s="4">
        <v>2</v>
      </c>
      <c r="Q51" s="1">
        <v>45.91</v>
      </c>
      <c r="R51" s="1">
        <v>20.98</v>
      </c>
      <c r="S51" s="8">
        <f t="shared" si="0"/>
        <v>66.89</v>
      </c>
      <c r="T51" s="8">
        <f t="shared" si="1"/>
        <v>39.941699999999997</v>
      </c>
      <c r="U51" s="8">
        <f t="shared" si="2"/>
        <v>18.252600000000001</v>
      </c>
      <c r="V51" s="4" t="s">
        <v>232</v>
      </c>
      <c r="W51" s="4" t="s">
        <v>232</v>
      </c>
    </row>
    <row r="52" spans="1:23" s="4" customFormat="1" x14ac:dyDescent="0.25">
      <c r="A52" s="4" t="s">
        <v>190</v>
      </c>
      <c r="B52" s="4" t="s">
        <v>112</v>
      </c>
      <c r="C52" s="4" t="s">
        <v>18</v>
      </c>
      <c r="D52" s="4" t="s">
        <v>19</v>
      </c>
      <c r="E52" s="4">
        <v>2019</v>
      </c>
      <c r="F52" s="4">
        <v>3</v>
      </c>
      <c r="G52" s="4">
        <v>17</v>
      </c>
      <c r="H52" s="4">
        <v>105</v>
      </c>
      <c r="I52" s="4" t="s">
        <v>218</v>
      </c>
      <c r="K52" s="4" t="s">
        <v>223</v>
      </c>
      <c r="L52" s="4" t="s">
        <v>232</v>
      </c>
      <c r="M52" s="4" t="s">
        <v>232</v>
      </c>
      <c r="N52" s="6">
        <v>765.5</v>
      </c>
      <c r="O52" s="6">
        <v>18.100000000000001</v>
      </c>
      <c r="P52" s="4">
        <v>2.5</v>
      </c>
      <c r="Q52" s="1">
        <v>47.97</v>
      </c>
      <c r="R52" s="1">
        <v>20.420000000000002</v>
      </c>
      <c r="S52" s="8">
        <f t="shared" si="0"/>
        <v>68.39</v>
      </c>
      <c r="T52" s="8">
        <f t="shared" si="1"/>
        <v>41.733899999999998</v>
      </c>
      <c r="U52" s="8">
        <f t="shared" si="2"/>
        <v>17.7654</v>
      </c>
      <c r="V52" s="4" t="s">
        <v>232</v>
      </c>
      <c r="W52" s="4" t="s">
        <v>232</v>
      </c>
    </row>
    <row r="53" spans="1:23" s="4" customFormat="1" x14ac:dyDescent="0.25">
      <c r="A53" s="4" t="s">
        <v>63</v>
      </c>
      <c r="B53" s="5" t="s">
        <v>64</v>
      </c>
      <c r="C53" s="5" t="s">
        <v>18</v>
      </c>
      <c r="D53" s="5" t="s">
        <v>19</v>
      </c>
      <c r="E53" s="5">
        <v>2019</v>
      </c>
      <c r="F53" s="5">
        <v>1</v>
      </c>
      <c r="G53" s="5">
        <v>18</v>
      </c>
      <c r="H53" s="5">
        <v>41</v>
      </c>
      <c r="I53" s="4" t="s">
        <v>220</v>
      </c>
      <c r="J53" s="4">
        <v>29</v>
      </c>
      <c r="K53" s="4" t="s">
        <v>223</v>
      </c>
      <c r="L53" s="4">
        <v>1</v>
      </c>
      <c r="M53" s="4">
        <v>22</v>
      </c>
      <c r="N53" s="6">
        <v>1183.0999999999999</v>
      </c>
      <c r="O53" s="6">
        <v>17.3</v>
      </c>
      <c r="P53" s="4">
        <v>2</v>
      </c>
      <c r="Q53" s="1">
        <v>44.2</v>
      </c>
      <c r="R53" s="1">
        <v>22.53</v>
      </c>
      <c r="S53" s="8">
        <f t="shared" si="0"/>
        <v>66.73</v>
      </c>
      <c r="T53" s="8">
        <f t="shared" si="1"/>
        <v>38.454000000000001</v>
      </c>
      <c r="U53" s="8">
        <f t="shared" si="2"/>
        <v>19.601100000000002</v>
      </c>
      <c r="V53" s="4" t="s">
        <v>232</v>
      </c>
      <c r="W53" s="4" t="s">
        <v>232</v>
      </c>
    </row>
    <row r="54" spans="1:23" s="4" customFormat="1" x14ac:dyDescent="0.25">
      <c r="A54" s="4" t="s">
        <v>210</v>
      </c>
      <c r="B54" s="4" t="s">
        <v>64</v>
      </c>
      <c r="C54" s="4" t="s">
        <v>18</v>
      </c>
      <c r="D54" s="4" t="s">
        <v>19</v>
      </c>
      <c r="E54" s="4">
        <v>2019</v>
      </c>
      <c r="F54" s="4">
        <v>2</v>
      </c>
      <c r="G54" s="4">
        <v>18</v>
      </c>
      <c r="H54" s="4">
        <v>86</v>
      </c>
      <c r="I54" s="4" t="s">
        <v>220</v>
      </c>
      <c r="J54" s="4">
        <v>29</v>
      </c>
      <c r="K54" s="4" t="s">
        <v>223</v>
      </c>
      <c r="L54" s="4">
        <v>1</v>
      </c>
      <c r="M54" s="4">
        <v>20</v>
      </c>
      <c r="N54" s="6">
        <v>1177.7</v>
      </c>
      <c r="O54" s="6">
        <v>16.100000000000001</v>
      </c>
      <c r="P54" s="4">
        <v>2</v>
      </c>
      <c r="Q54" s="1">
        <v>44.56</v>
      </c>
      <c r="R54" s="1">
        <v>21.8</v>
      </c>
      <c r="S54" s="8">
        <f t="shared" si="0"/>
        <v>66.36</v>
      </c>
      <c r="T54" s="8">
        <f t="shared" si="1"/>
        <v>38.767200000000003</v>
      </c>
      <c r="U54" s="8">
        <f t="shared" si="2"/>
        <v>18.966000000000001</v>
      </c>
      <c r="V54" s="4" t="s">
        <v>232</v>
      </c>
      <c r="W54" s="4" t="s">
        <v>232</v>
      </c>
    </row>
    <row r="55" spans="1:23" s="4" customFormat="1" x14ac:dyDescent="0.25">
      <c r="A55" s="4" t="s">
        <v>85</v>
      </c>
      <c r="B55" s="5" t="s">
        <v>64</v>
      </c>
      <c r="C55" s="5" t="s">
        <v>18</v>
      </c>
      <c r="D55" s="5" t="s">
        <v>19</v>
      </c>
      <c r="E55" s="5">
        <v>2019</v>
      </c>
      <c r="F55" s="5">
        <v>3</v>
      </c>
      <c r="G55" s="5">
        <v>18</v>
      </c>
      <c r="H55" s="5">
        <v>139</v>
      </c>
      <c r="I55" s="4" t="s">
        <v>220</v>
      </c>
      <c r="K55" s="4" t="s">
        <v>223</v>
      </c>
      <c r="L55" s="4" t="s">
        <v>232</v>
      </c>
      <c r="M55" s="4" t="s">
        <v>232</v>
      </c>
      <c r="N55" s="6">
        <v>1039</v>
      </c>
      <c r="O55" s="6">
        <v>14.8</v>
      </c>
      <c r="P55" s="4">
        <v>2.5</v>
      </c>
      <c r="Q55" s="1">
        <v>45.27</v>
      </c>
      <c r="R55" s="1">
        <v>21.89</v>
      </c>
      <c r="S55" s="8">
        <f t="shared" si="0"/>
        <v>67.16</v>
      </c>
      <c r="T55" s="8">
        <f t="shared" si="1"/>
        <v>39.384900000000002</v>
      </c>
      <c r="U55" s="8">
        <f t="shared" si="2"/>
        <v>19.0443</v>
      </c>
      <c r="V55" s="4" t="s">
        <v>232</v>
      </c>
      <c r="W55" s="4" t="s">
        <v>232</v>
      </c>
    </row>
    <row r="56" spans="1:23" s="4" customFormat="1" x14ac:dyDescent="0.25">
      <c r="A56" s="4" t="s">
        <v>69</v>
      </c>
      <c r="B56" s="5" t="s">
        <v>70</v>
      </c>
      <c r="C56" s="5" t="s">
        <v>18</v>
      </c>
      <c r="D56" s="5" t="s">
        <v>19</v>
      </c>
      <c r="E56" s="5">
        <v>2019</v>
      </c>
      <c r="F56" s="5">
        <v>1</v>
      </c>
      <c r="G56" s="5">
        <v>19</v>
      </c>
      <c r="H56" s="5">
        <v>50</v>
      </c>
      <c r="I56" s="4" t="s">
        <v>218</v>
      </c>
      <c r="J56" s="4">
        <v>30</v>
      </c>
      <c r="K56" s="4" t="s">
        <v>223</v>
      </c>
      <c r="L56" s="4">
        <v>1</v>
      </c>
      <c r="M56" s="4">
        <v>25</v>
      </c>
      <c r="N56" s="6">
        <v>1320</v>
      </c>
      <c r="O56" s="6">
        <v>16.2</v>
      </c>
      <c r="P56" s="4">
        <v>2</v>
      </c>
      <c r="Q56" s="1">
        <v>42.67</v>
      </c>
      <c r="R56" s="1">
        <v>23.24</v>
      </c>
      <c r="S56" s="8">
        <f t="shared" si="0"/>
        <v>65.91</v>
      </c>
      <c r="T56" s="8">
        <f t="shared" si="1"/>
        <v>37.122900000000001</v>
      </c>
      <c r="U56" s="8">
        <f t="shared" si="2"/>
        <v>20.218799999999998</v>
      </c>
      <c r="V56" s="4" t="s">
        <v>222</v>
      </c>
      <c r="W56" s="4" t="s">
        <v>232</v>
      </c>
    </row>
    <row r="57" spans="1:23" s="4" customFormat="1" x14ac:dyDescent="0.25">
      <c r="A57" s="4" t="s">
        <v>145</v>
      </c>
      <c r="B57" s="5" t="s">
        <v>70</v>
      </c>
      <c r="C57" s="5" t="s">
        <v>18</v>
      </c>
      <c r="D57" s="5" t="s">
        <v>19</v>
      </c>
      <c r="E57" s="5">
        <v>2019</v>
      </c>
      <c r="F57" s="5">
        <v>2</v>
      </c>
      <c r="G57" s="5">
        <v>19</v>
      </c>
      <c r="H57" s="5">
        <v>88</v>
      </c>
      <c r="I57" s="4" t="s">
        <v>218</v>
      </c>
      <c r="J57" s="4">
        <v>30</v>
      </c>
      <c r="K57" s="4" t="s">
        <v>223</v>
      </c>
      <c r="L57" s="4">
        <v>1</v>
      </c>
      <c r="M57" s="4">
        <v>24</v>
      </c>
      <c r="N57" s="6">
        <v>1075</v>
      </c>
      <c r="O57" s="6">
        <v>15.9</v>
      </c>
      <c r="P57" s="4">
        <v>1.5</v>
      </c>
      <c r="Q57" s="1">
        <v>42.34</v>
      </c>
      <c r="R57" s="1">
        <v>23.33</v>
      </c>
      <c r="S57" s="8">
        <f t="shared" si="0"/>
        <v>65.67</v>
      </c>
      <c r="T57" s="8">
        <f t="shared" si="1"/>
        <v>36.835800000000006</v>
      </c>
      <c r="U57" s="8">
        <f t="shared" si="2"/>
        <v>20.297099999999997</v>
      </c>
      <c r="V57" s="4" t="s">
        <v>232</v>
      </c>
      <c r="W57" s="4" t="s">
        <v>232</v>
      </c>
    </row>
    <row r="58" spans="1:23" s="4" customFormat="1" x14ac:dyDescent="0.25">
      <c r="A58" s="4" t="s">
        <v>146</v>
      </c>
      <c r="B58" s="5" t="s">
        <v>70</v>
      </c>
      <c r="C58" s="5" t="s">
        <v>18</v>
      </c>
      <c r="D58" s="5" t="s">
        <v>19</v>
      </c>
      <c r="E58" s="5">
        <v>2019</v>
      </c>
      <c r="F58" s="5">
        <v>3</v>
      </c>
      <c r="G58" s="5">
        <v>19</v>
      </c>
      <c r="H58" s="5">
        <v>138</v>
      </c>
      <c r="I58" s="4" t="s">
        <v>218</v>
      </c>
      <c r="K58" s="4" t="s">
        <v>223</v>
      </c>
      <c r="L58" s="4" t="s">
        <v>232</v>
      </c>
      <c r="M58" s="4" t="s">
        <v>232</v>
      </c>
      <c r="N58" s="6">
        <v>1176</v>
      </c>
      <c r="O58" s="6">
        <v>15.7</v>
      </c>
      <c r="P58" s="4">
        <v>1.5</v>
      </c>
      <c r="Q58" s="1">
        <v>41.45</v>
      </c>
      <c r="R58" s="1">
        <v>23.5</v>
      </c>
      <c r="S58" s="8">
        <f t="shared" si="0"/>
        <v>64.95</v>
      </c>
      <c r="T58" s="8">
        <f t="shared" si="1"/>
        <v>36.061500000000002</v>
      </c>
      <c r="U58" s="8">
        <f t="shared" si="2"/>
        <v>20.445</v>
      </c>
      <c r="V58" s="4" t="s">
        <v>232</v>
      </c>
      <c r="W58" s="4" t="s">
        <v>232</v>
      </c>
    </row>
    <row r="59" spans="1:23" s="4" customFormat="1" x14ac:dyDescent="0.25">
      <c r="A59" s="4" t="s">
        <v>141</v>
      </c>
      <c r="B59" s="5" t="s">
        <v>46</v>
      </c>
      <c r="C59" s="5" t="s">
        <v>18</v>
      </c>
      <c r="D59" s="5" t="s">
        <v>19</v>
      </c>
      <c r="E59" s="5">
        <v>2019</v>
      </c>
      <c r="F59" s="5">
        <v>1</v>
      </c>
      <c r="G59" s="5">
        <v>20</v>
      </c>
      <c r="H59" s="5">
        <v>33</v>
      </c>
      <c r="I59" s="4" t="s">
        <v>219</v>
      </c>
      <c r="J59" s="4">
        <v>30</v>
      </c>
      <c r="K59" s="4" t="s">
        <v>223</v>
      </c>
      <c r="L59" s="4">
        <v>1</v>
      </c>
      <c r="M59" s="4">
        <v>19</v>
      </c>
      <c r="N59" s="6">
        <v>1229</v>
      </c>
      <c r="O59" s="6">
        <v>15.3</v>
      </c>
      <c r="P59" s="4">
        <v>2</v>
      </c>
      <c r="Q59" s="1">
        <v>42.02</v>
      </c>
      <c r="R59" s="1">
        <v>23.63</v>
      </c>
      <c r="S59" s="8">
        <f t="shared" si="0"/>
        <v>65.650000000000006</v>
      </c>
      <c r="T59" s="8">
        <f t="shared" si="1"/>
        <v>36.557400000000001</v>
      </c>
      <c r="U59" s="8">
        <f t="shared" si="2"/>
        <v>20.5581</v>
      </c>
      <c r="V59" s="4" t="s">
        <v>232</v>
      </c>
      <c r="W59" s="4" t="s">
        <v>232</v>
      </c>
    </row>
    <row r="60" spans="1:23" s="4" customFormat="1" x14ac:dyDescent="0.25">
      <c r="A60" s="4" t="s">
        <v>176</v>
      </c>
      <c r="B60" s="4" t="s">
        <v>46</v>
      </c>
      <c r="C60" s="4" t="s">
        <v>18</v>
      </c>
      <c r="D60" s="4" t="s">
        <v>19</v>
      </c>
      <c r="E60" s="4">
        <v>2019</v>
      </c>
      <c r="F60" s="4">
        <v>2</v>
      </c>
      <c r="G60" s="4">
        <v>20</v>
      </c>
      <c r="H60" s="4">
        <v>67</v>
      </c>
      <c r="I60" s="4" t="s">
        <v>219</v>
      </c>
      <c r="J60" s="4">
        <v>32</v>
      </c>
      <c r="K60" s="4" t="s">
        <v>223</v>
      </c>
      <c r="L60" s="4">
        <v>1</v>
      </c>
      <c r="M60" s="4">
        <v>20</v>
      </c>
      <c r="N60" s="6">
        <v>1120</v>
      </c>
      <c r="O60" s="6">
        <v>15.6</v>
      </c>
      <c r="P60" s="4">
        <v>2.5</v>
      </c>
      <c r="Q60" s="1">
        <v>43.69</v>
      </c>
      <c r="R60" s="1">
        <v>22.71</v>
      </c>
      <c r="S60" s="8">
        <f t="shared" si="0"/>
        <v>66.400000000000006</v>
      </c>
      <c r="T60" s="8">
        <f t="shared" si="1"/>
        <v>38.010300000000001</v>
      </c>
      <c r="U60" s="8">
        <f t="shared" si="2"/>
        <v>19.7577</v>
      </c>
      <c r="V60" s="4" t="s">
        <v>232</v>
      </c>
      <c r="W60" s="4" t="s">
        <v>232</v>
      </c>
    </row>
    <row r="61" spans="1:23" s="4" customFormat="1" x14ac:dyDescent="0.25">
      <c r="A61" s="4" t="s">
        <v>45</v>
      </c>
      <c r="B61" s="5" t="s">
        <v>46</v>
      </c>
      <c r="C61" s="5" t="s">
        <v>18</v>
      </c>
      <c r="D61" s="5" t="s">
        <v>19</v>
      </c>
      <c r="E61" s="5">
        <v>2019</v>
      </c>
      <c r="F61" s="5">
        <v>3</v>
      </c>
      <c r="G61" s="5">
        <v>20</v>
      </c>
      <c r="H61" s="5">
        <v>121</v>
      </c>
      <c r="I61" s="4" t="s">
        <v>219</v>
      </c>
      <c r="K61" s="4" t="s">
        <v>223</v>
      </c>
      <c r="L61" s="4" t="s">
        <v>232</v>
      </c>
      <c r="M61" s="4" t="s">
        <v>232</v>
      </c>
      <c r="N61" s="6">
        <v>974.6</v>
      </c>
      <c r="O61" s="6">
        <v>14.5</v>
      </c>
      <c r="P61" s="4">
        <v>2</v>
      </c>
      <c r="Q61" s="1">
        <v>43.54</v>
      </c>
      <c r="R61" s="1">
        <v>22.71</v>
      </c>
      <c r="S61" s="8">
        <f t="shared" si="0"/>
        <v>66.25</v>
      </c>
      <c r="T61" s="8">
        <f t="shared" si="1"/>
        <v>37.879799999999996</v>
      </c>
      <c r="U61" s="8">
        <f t="shared" si="2"/>
        <v>19.7577</v>
      </c>
      <c r="V61" s="4" t="s">
        <v>232</v>
      </c>
      <c r="W61" s="4" t="s">
        <v>232</v>
      </c>
    </row>
    <row r="62" spans="1:23" s="4" customFormat="1" x14ac:dyDescent="0.25">
      <c r="A62" s="4" t="s">
        <v>197</v>
      </c>
      <c r="B62" s="4" t="s">
        <v>169</v>
      </c>
      <c r="C62" s="4" t="s">
        <v>18</v>
      </c>
      <c r="D62" s="4" t="s">
        <v>19</v>
      </c>
      <c r="E62" s="4">
        <v>2019</v>
      </c>
      <c r="F62" s="4">
        <v>1</v>
      </c>
      <c r="G62" s="4">
        <v>21</v>
      </c>
      <c r="H62" s="4">
        <v>16</v>
      </c>
      <c r="I62" s="4" t="s">
        <v>220</v>
      </c>
      <c r="J62" s="4">
        <v>29</v>
      </c>
      <c r="K62" s="4" t="s">
        <v>223</v>
      </c>
      <c r="L62" s="4">
        <v>1.5</v>
      </c>
      <c r="M62" s="4">
        <v>27</v>
      </c>
      <c r="N62" s="6">
        <v>1306.4000000000001</v>
      </c>
      <c r="O62" s="6">
        <v>13.4</v>
      </c>
      <c r="P62" s="4">
        <v>2</v>
      </c>
      <c r="Q62" s="1">
        <v>41.99</v>
      </c>
      <c r="R62" s="1">
        <v>23.84</v>
      </c>
      <c r="S62" s="8">
        <f t="shared" si="0"/>
        <v>65.83</v>
      </c>
      <c r="T62" s="8">
        <f t="shared" si="1"/>
        <v>36.531300000000002</v>
      </c>
      <c r="U62" s="8">
        <f t="shared" si="2"/>
        <v>20.7408</v>
      </c>
      <c r="V62" s="4" t="s">
        <v>232</v>
      </c>
      <c r="W62" s="4" t="s">
        <v>232</v>
      </c>
    </row>
    <row r="63" spans="1:23" s="4" customFormat="1" x14ac:dyDescent="0.25">
      <c r="A63" s="4" t="s">
        <v>207</v>
      </c>
      <c r="B63" s="4" t="s">
        <v>169</v>
      </c>
      <c r="C63" s="4" t="s">
        <v>18</v>
      </c>
      <c r="D63" s="4" t="s">
        <v>19</v>
      </c>
      <c r="E63" s="4">
        <v>2019</v>
      </c>
      <c r="F63" s="4">
        <v>2</v>
      </c>
      <c r="G63" s="4">
        <v>21</v>
      </c>
      <c r="H63" s="4">
        <v>85</v>
      </c>
      <c r="I63" s="4" t="s">
        <v>220</v>
      </c>
      <c r="J63" s="4">
        <v>29</v>
      </c>
      <c r="K63" s="4" t="s">
        <v>223</v>
      </c>
      <c r="L63" s="4">
        <v>1</v>
      </c>
      <c r="M63" s="4">
        <v>27</v>
      </c>
      <c r="N63" s="6">
        <v>1169.3</v>
      </c>
      <c r="O63" s="6">
        <v>13</v>
      </c>
      <c r="P63" s="4">
        <v>1.5</v>
      </c>
      <c r="Q63" s="1">
        <v>41.38</v>
      </c>
      <c r="R63" s="1">
        <v>23.7</v>
      </c>
      <c r="S63" s="8">
        <f t="shared" si="0"/>
        <v>65.08</v>
      </c>
      <c r="T63" s="8">
        <f t="shared" si="1"/>
        <v>36.000599999999999</v>
      </c>
      <c r="U63" s="8">
        <f t="shared" si="2"/>
        <v>20.619</v>
      </c>
      <c r="V63" s="4" t="s">
        <v>232</v>
      </c>
      <c r="W63" s="4" t="s">
        <v>232</v>
      </c>
    </row>
    <row r="64" spans="1:23" s="4" customFormat="1" x14ac:dyDescent="0.25">
      <c r="A64" s="4" t="s">
        <v>168</v>
      </c>
      <c r="B64" s="4" t="s">
        <v>169</v>
      </c>
      <c r="C64" s="4" t="s">
        <v>18</v>
      </c>
      <c r="D64" s="4" t="s">
        <v>19</v>
      </c>
      <c r="E64" s="4">
        <v>2019</v>
      </c>
      <c r="F64" s="4">
        <v>3</v>
      </c>
      <c r="G64" s="4">
        <v>21</v>
      </c>
      <c r="H64" s="4">
        <v>127</v>
      </c>
      <c r="I64" s="4" t="s">
        <v>220</v>
      </c>
      <c r="K64" s="4" t="s">
        <v>223</v>
      </c>
      <c r="L64" s="4" t="s">
        <v>232</v>
      </c>
      <c r="M64" s="4" t="s">
        <v>232</v>
      </c>
      <c r="N64" s="6">
        <v>629.70000000000005</v>
      </c>
      <c r="O64" s="6">
        <v>14.4</v>
      </c>
      <c r="P64" s="4">
        <v>1.5</v>
      </c>
      <c r="Q64" s="1">
        <v>42.13</v>
      </c>
      <c r="R64" s="1">
        <v>24.11</v>
      </c>
      <c r="S64" s="8">
        <f t="shared" si="0"/>
        <v>66.240000000000009</v>
      </c>
      <c r="T64" s="8">
        <f t="shared" si="1"/>
        <v>36.653100000000002</v>
      </c>
      <c r="U64" s="8">
        <f t="shared" si="2"/>
        <v>20.9757</v>
      </c>
      <c r="V64" s="4" t="s">
        <v>221</v>
      </c>
      <c r="W64" s="4" t="s">
        <v>232</v>
      </c>
    </row>
    <row r="65" spans="1:23" s="4" customFormat="1" x14ac:dyDescent="0.25">
      <c r="A65" s="4" t="s">
        <v>103</v>
      </c>
      <c r="B65" s="5" t="s">
        <v>57</v>
      </c>
      <c r="C65" s="5" t="s">
        <v>18</v>
      </c>
      <c r="D65" s="5" t="s">
        <v>19</v>
      </c>
      <c r="E65" s="5">
        <v>2019</v>
      </c>
      <c r="F65" s="5">
        <v>1</v>
      </c>
      <c r="G65" s="5">
        <v>22</v>
      </c>
      <c r="H65" s="5">
        <v>19</v>
      </c>
      <c r="I65" s="4" t="s">
        <v>218</v>
      </c>
      <c r="J65" s="4">
        <v>32</v>
      </c>
      <c r="K65" s="4" t="s">
        <v>223</v>
      </c>
      <c r="L65" s="4">
        <v>1</v>
      </c>
      <c r="M65" s="4">
        <v>27</v>
      </c>
      <c r="N65" s="6">
        <v>1124.3</v>
      </c>
      <c r="O65" s="6">
        <v>14.8</v>
      </c>
      <c r="P65" s="4">
        <v>2.5</v>
      </c>
      <c r="Q65" s="1">
        <v>42.08</v>
      </c>
      <c r="R65" s="1">
        <v>23.17</v>
      </c>
      <c r="S65" s="8">
        <f t="shared" si="0"/>
        <v>65.25</v>
      </c>
      <c r="T65" s="8">
        <f t="shared" si="1"/>
        <v>36.6096</v>
      </c>
      <c r="U65" s="8">
        <f t="shared" si="2"/>
        <v>20.157900000000001</v>
      </c>
      <c r="V65" s="4" t="s">
        <v>232</v>
      </c>
      <c r="W65" s="4" t="s">
        <v>232</v>
      </c>
    </row>
    <row r="66" spans="1:23" s="4" customFormat="1" x14ac:dyDescent="0.25">
      <c r="A66" s="4" t="s">
        <v>216</v>
      </c>
      <c r="B66" s="4" t="s">
        <v>57</v>
      </c>
      <c r="C66" s="4" t="s">
        <v>18</v>
      </c>
      <c r="D66" s="4" t="s">
        <v>19</v>
      </c>
      <c r="E66" s="4">
        <v>2019</v>
      </c>
      <c r="F66" s="4">
        <v>2</v>
      </c>
      <c r="G66" s="4">
        <v>22</v>
      </c>
      <c r="H66" s="4">
        <v>96</v>
      </c>
      <c r="I66" s="4" t="s">
        <v>218</v>
      </c>
      <c r="J66" s="4">
        <v>34</v>
      </c>
      <c r="K66" s="4" t="s">
        <v>223</v>
      </c>
      <c r="L66" s="4">
        <v>1.5</v>
      </c>
      <c r="M66" s="4">
        <v>30</v>
      </c>
      <c r="N66" s="6">
        <v>1183.0999999999999</v>
      </c>
      <c r="O66" s="6">
        <v>14.7</v>
      </c>
      <c r="P66" s="4">
        <v>1</v>
      </c>
      <c r="Q66" s="1">
        <v>42.43</v>
      </c>
      <c r="R66" s="1">
        <v>22.63</v>
      </c>
      <c r="S66" s="8">
        <f t="shared" si="0"/>
        <v>65.06</v>
      </c>
      <c r="T66" s="8">
        <f t="shared" si="1"/>
        <v>36.914099999999998</v>
      </c>
      <c r="U66" s="8">
        <f t="shared" si="2"/>
        <v>19.688099999999999</v>
      </c>
      <c r="V66" s="4" t="s">
        <v>232</v>
      </c>
      <c r="W66" s="4" t="s">
        <v>232</v>
      </c>
    </row>
    <row r="67" spans="1:23" s="4" customFormat="1" x14ac:dyDescent="0.25">
      <c r="A67" s="4" t="s">
        <v>56</v>
      </c>
      <c r="B67" s="5" t="s">
        <v>57</v>
      </c>
      <c r="C67" s="5" t="s">
        <v>18</v>
      </c>
      <c r="D67" s="5" t="s">
        <v>19</v>
      </c>
      <c r="E67" s="5">
        <v>2019</v>
      </c>
      <c r="F67" s="5">
        <v>3</v>
      </c>
      <c r="G67" s="5">
        <v>22</v>
      </c>
      <c r="H67" s="5">
        <v>131</v>
      </c>
      <c r="I67" s="4" t="s">
        <v>218</v>
      </c>
      <c r="K67" s="4" t="s">
        <v>223</v>
      </c>
      <c r="L67" s="4" t="s">
        <v>232</v>
      </c>
      <c r="M67" s="4" t="s">
        <v>232</v>
      </c>
      <c r="N67" s="6">
        <v>628.1</v>
      </c>
      <c r="O67" s="6">
        <v>14.7</v>
      </c>
      <c r="P67" s="4">
        <v>2.5</v>
      </c>
      <c r="Q67" s="1">
        <v>43.23</v>
      </c>
      <c r="R67" s="1">
        <v>21.95</v>
      </c>
      <c r="S67" s="8">
        <f t="shared" ref="S67:S130" si="3">Q67+R67</f>
        <v>65.179999999999993</v>
      </c>
      <c r="T67" s="8">
        <f t="shared" ref="T67:T130" si="4">Q67*0.87</f>
        <v>37.610099999999996</v>
      </c>
      <c r="U67" s="8">
        <f t="shared" ref="U67:U130" si="5">R67*0.87</f>
        <v>19.096499999999999</v>
      </c>
      <c r="V67" s="4" t="s">
        <v>232</v>
      </c>
      <c r="W67" s="4" t="s">
        <v>232</v>
      </c>
    </row>
    <row r="68" spans="1:23" s="4" customFormat="1" x14ac:dyDescent="0.25">
      <c r="A68" s="4" t="s">
        <v>36</v>
      </c>
      <c r="B68" s="5" t="s">
        <v>37</v>
      </c>
      <c r="C68" s="5" t="s">
        <v>18</v>
      </c>
      <c r="D68" s="5" t="s">
        <v>19</v>
      </c>
      <c r="E68" s="5">
        <v>2019</v>
      </c>
      <c r="F68" s="5">
        <v>1</v>
      </c>
      <c r="G68" s="5">
        <v>23</v>
      </c>
      <c r="H68" s="5">
        <v>20</v>
      </c>
      <c r="I68" s="4" t="s">
        <v>219</v>
      </c>
      <c r="J68" s="4">
        <v>30</v>
      </c>
      <c r="K68" s="4" t="s">
        <v>223</v>
      </c>
      <c r="L68" s="4">
        <v>1.5</v>
      </c>
      <c r="M68" s="4">
        <v>26</v>
      </c>
      <c r="N68" s="6">
        <v>960.5</v>
      </c>
      <c r="O68" s="6">
        <v>16.8</v>
      </c>
      <c r="P68" s="4">
        <v>1.5</v>
      </c>
      <c r="Q68" s="1">
        <v>43.24</v>
      </c>
      <c r="R68" s="1">
        <v>22.69</v>
      </c>
      <c r="S68" s="8">
        <f t="shared" si="3"/>
        <v>65.930000000000007</v>
      </c>
      <c r="T68" s="8">
        <f t="shared" si="4"/>
        <v>37.6188</v>
      </c>
      <c r="U68" s="8">
        <f t="shared" si="5"/>
        <v>19.740300000000001</v>
      </c>
      <c r="V68" s="4" t="s">
        <v>232</v>
      </c>
      <c r="W68" s="4" t="s">
        <v>232</v>
      </c>
    </row>
    <row r="69" spans="1:23" s="4" customFormat="1" x14ac:dyDescent="0.25">
      <c r="A69" s="4" t="s">
        <v>204</v>
      </c>
      <c r="B69" s="4" t="s">
        <v>37</v>
      </c>
      <c r="C69" s="4" t="s">
        <v>18</v>
      </c>
      <c r="D69" s="4" t="s">
        <v>19</v>
      </c>
      <c r="E69" s="4">
        <v>2019</v>
      </c>
      <c r="F69" s="4">
        <v>2</v>
      </c>
      <c r="G69" s="4">
        <v>23</v>
      </c>
      <c r="H69" s="4">
        <v>76</v>
      </c>
      <c r="I69" s="4" t="s">
        <v>219</v>
      </c>
      <c r="J69" s="4">
        <v>30</v>
      </c>
      <c r="K69" s="4" t="s">
        <v>223</v>
      </c>
      <c r="L69" s="4">
        <v>1.5</v>
      </c>
      <c r="M69" s="4">
        <v>29</v>
      </c>
      <c r="N69" s="6">
        <v>1231.3</v>
      </c>
      <c r="O69" s="6">
        <v>16.5</v>
      </c>
      <c r="P69" s="4">
        <v>1.5</v>
      </c>
      <c r="Q69" s="1">
        <v>42.95</v>
      </c>
      <c r="R69" s="1">
        <v>22.01</v>
      </c>
      <c r="S69" s="8">
        <f t="shared" si="3"/>
        <v>64.960000000000008</v>
      </c>
      <c r="T69" s="8">
        <f t="shared" si="4"/>
        <v>37.366500000000002</v>
      </c>
      <c r="U69" s="8">
        <f t="shared" si="5"/>
        <v>19.148700000000002</v>
      </c>
      <c r="V69" s="4" t="s">
        <v>232</v>
      </c>
      <c r="W69" s="4" t="s">
        <v>232</v>
      </c>
    </row>
    <row r="70" spans="1:23" s="4" customFormat="1" x14ac:dyDescent="0.25">
      <c r="A70" s="4" t="s">
        <v>51</v>
      </c>
      <c r="B70" s="5" t="s">
        <v>37</v>
      </c>
      <c r="C70" s="5" t="s">
        <v>18</v>
      </c>
      <c r="D70" s="5" t="s">
        <v>19</v>
      </c>
      <c r="E70" s="5">
        <v>2019</v>
      </c>
      <c r="F70" s="5">
        <v>3</v>
      </c>
      <c r="G70" s="5">
        <v>23</v>
      </c>
      <c r="H70" s="5">
        <v>130</v>
      </c>
      <c r="I70" s="4" t="s">
        <v>219</v>
      </c>
      <c r="K70" s="4" t="s">
        <v>223</v>
      </c>
      <c r="L70" s="4" t="s">
        <v>232</v>
      </c>
      <c r="M70" s="4" t="s">
        <v>232</v>
      </c>
      <c r="N70" s="6">
        <v>983.2</v>
      </c>
      <c r="O70" s="6">
        <v>16.5</v>
      </c>
      <c r="P70" s="4">
        <v>2</v>
      </c>
      <c r="Q70" s="1">
        <v>44.78</v>
      </c>
      <c r="R70" s="1">
        <v>21.37</v>
      </c>
      <c r="S70" s="8">
        <f t="shared" si="3"/>
        <v>66.150000000000006</v>
      </c>
      <c r="T70" s="8">
        <f t="shared" si="4"/>
        <v>38.958600000000004</v>
      </c>
      <c r="U70" s="8">
        <f t="shared" si="5"/>
        <v>18.591900000000003</v>
      </c>
      <c r="V70" s="4" t="s">
        <v>232</v>
      </c>
      <c r="W70" s="4" t="s">
        <v>232</v>
      </c>
    </row>
    <row r="71" spans="1:23" s="4" customFormat="1" x14ac:dyDescent="0.25">
      <c r="A71" s="4" t="s">
        <v>174</v>
      </c>
      <c r="B71" s="4" t="s">
        <v>44</v>
      </c>
      <c r="C71" s="4" t="s">
        <v>18</v>
      </c>
      <c r="D71" s="4" t="s">
        <v>19</v>
      </c>
      <c r="E71" s="4">
        <v>2019</v>
      </c>
      <c r="F71" s="4">
        <v>1</v>
      </c>
      <c r="G71" s="4">
        <v>24</v>
      </c>
      <c r="H71" s="4">
        <v>24</v>
      </c>
      <c r="I71" s="4" t="s">
        <v>218</v>
      </c>
      <c r="J71" s="4">
        <v>34</v>
      </c>
      <c r="K71" s="4" t="s">
        <v>224</v>
      </c>
      <c r="L71" s="4">
        <v>1.5</v>
      </c>
      <c r="M71" s="4">
        <v>24</v>
      </c>
      <c r="N71" s="6">
        <v>1293.3</v>
      </c>
      <c r="O71" s="6">
        <v>13.9</v>
      </c>
      <c r="P71" s="4">
        <v>2</v>
      </c>
      <c r="Q71" s="1">
        <v>43.7</v>
      </c>
      <c r="R71" s="1">
        <v>22.49</v>
      </c>
      <c r="S71" s="8">
        <f t="shared" si="3"/>
        <v>66.19</v>
      </c>
      <c r="T71" s="8">
        <f t="shared" si="4"/>
        <v>38.019000000000005</v>
      </c>
      <c r="U71" s="8">
        <f t="shared" si="5"/>
        <v>19.566299999999998</v>
      </c>
      <c r="V71" s="4" t="s">
        <v>232</v>
      </c>
      <c r="W71" s="4" t="s">
        <v>232</v>
      </c>
    </row>
    <row r="72" spans="1:23" s="4" customFormat="1" x14ac:dyDescent="0.25">
      <c r="A72" s="4" t="s">
        <v>43</v>
      </c>
      <c r="B72" s="5" t="s">
        <v>44</v>
      </c>
      <c r="C72" s="5" t="s">
        <v>18</v>
      </c>
      <c r="D72" s="5" t="s">
        <v>19</v>
      </c>
      <c r="E72" s="5">
        <v>2019</v>
      </c>
      <c r="F72" s="5">
        <v>2</v>
      </c>
      <c r="G72" s="5">
        <v>24</v>
      </c>
      <c r="H72" s="5">
        <v>71</v>
      </c>
      <c r="I72" s="4" t="s">
        <v>218</v>
      </c>
      <c r="J72" s="4">
        <v>36</v>
      </c>
      <c r="K72" s="4" t="s">
        <v>224</v>
      </c>
      <c r="L72" s="4">
        <v>1.5</v>
      </c>
      <c r="M72" s="4">
        <v>22</v>
      </c>
      <c r="N72" s="6">
        <v>1050.2</v>
      </c>
      <c r="O72" s="6">
        <v>13.8</v>
      </c>
      <c r="P72" s="4">
        <v>2.5</v>
      </c>
      <c r="Q72" s="1">
        <v>43.41</v>
      </c>
      <c r="R72" s="1">
        <v>21.93</v>
      </c>
      <c r="S72" s="8">
        <f t="shared" si="3"/>
        <v>65.34</v>
      </c>
      <c r="T72" s="8">
        <f t="shared" si="4"/>
        <v>37.7667</v>
      </c>
      <c r="U72" s="8">
        <f t="shared" si="5"/>
        <v>19.0791</v>
      </c>
      <c r="V72" s="4" t="s">
        <v>232</v>
      </c>
      <c r="W72" s="4" t="s">
        <v>232</v>
      </c>
    </row>
    <row r="73" spans="1:23" s="4" customFormat="1" x14ac:dyDescent="0.25">
      <c r="A73" s="4" t="s">
        <v>178</v>
      </c>
      <c r="B73" s="4" t="s">
        <v>44</v>
      </c>
      <c r="C73" s="4" t="s">
        <v>18</v>
      </c>
      <c r="D73" s="4" t="s">
        <v>19</v>
      </c>
      <c r="E73" s="4">
        <v>2019</v>
      </c>
      <c r="F73" s="4">
        <v>3</v>
      </c>
      <c r="G73" s="4">
        <v>24</v>
      </c>
      <c r="H73" s="4">
        <v>114</v>
      </c>
      <c r="I73" s="4" t="s">
        <v>218</v>
      </c>
      <c r="K73" s="4" t="s">
        <v>224</v>
      </c>
      <c r="L73" s="4" t="s">
        <v>232</v>
      </c>
      <c r="M73" s="4" t="s">
        <v>232</v>
      </c>
      <c r="N73" s="6">
        <v>1169.5</v>
      </c>
      <c r="O73" s="6">
        <v>13.2</v>
      </c>
      <c r="P73" s="4">
        <v>2</v>
      </c>
      <c r="Q73" s="1">
        <v>43.51</v>
      </c>
      <c r="R73" s="1">
        <v>21.83</v>
      </c>
      <c r="S73" s="8">
        <f t="shared" si="3"/>
        <v>65.34</v>
      </c>
      <c r="T73" s="8">
        <f t="shared" si="4"/>
        <v>37.853699999999996</v>
      </c>
      <c r="U73" s="8">
        <f t="shared" si="5"/>
        <v>18.992099999999997</v>
      </c>
      <c r="V73" s="4" t="s">
        <v>232</v>
      </c>
      <c r="W73" s="4" t="s">
        <v>232</v>
      </c>
    </row>
    <row r="74" spans="1:23" s="4" customFormat="1" x14ac:dyDescent="0.25">
      <c r="A74" s="4" t="s">
        <v>191</v>
      </c>
      <c r="B74" s="4" t="s">
        <v>153</v>
      </c>
      <c r="C74" s="4" t="s">
        <v>18</v>
      </c>
      <c r="D74" s="4" t="s">
        <v>19</v>
      </c>
      <c r="E74" s="4">
        <v>2019</v>
      </c>
      <c r="F74" s="4">
        <v>1</v>
      </c>
      <c r="G74" s="4">
        <v>25</v>
      </c>
      <c r="H74" s="4">
        <v>6</v>
      </c>
      <c r="I74" s="4" t="s">
        <v>218</v>
      </c>
      <c r="J74" s="4">
        <v>32</v>
      </c>
      <c r="K74" s="4" t="s">
        <v>224</v>
      </c>
      <c r="L74" s="4">
        <v>2</v>
      </c>
      <c r="M74" s="4">
        <v>28</v>
      </c>
      <c r="N74" s="6">
        <v>1326.9</v>
      </c>
      <c r="O74" s="6">
        <v>17.3</v>
      </c>
      <c r="P74" s="4">
        <v>2</v>
      </c>
      <c r="Q74" s="1">
        <v>44.19</v>
      </c>
      <c r="R74" s="1">
        <v>22.13</v>
      </c>
      <c r="S74" s="8">
        <f t="shared" si="3"/>
        <v>66.319999999999993</v>
      </c>
      <c r="T74" s="8">
        <f t="shared" si="4"/>
        <v>38.445299999999996</v>
      </c>
      <c r="U74" s="8">
        <f t="shared" si="5"/>
        <v>19.2531</v>
      </c>
      <c r="V74" s="4" t="s">
        <v>232</v>
      </c>
      <c r="W74" s="4" t="s">
        <v>232</v>
      </c>
    </row>
    <row r="75" spans="1:23" s="4" customFormat="1" x14ac:dyDescent="0.25">
      <c r="A75" s="4" t="s">
        <v>189</v>
      </c>
      <c r="B75" s="4" t="s">
        <v>153</v>
      </c>
      <c r="C75" s="4" t="s">
        <v>18</v>
      </c>
      <c r="D75" s="4" t="s">
        <v>19</v>
      </c>
      <c r="E75" s="4">
        <v>2019</v>
      </c>
      <c r="F75" s="4">
        <v>2</v>
      </c>
      <c r="G75" s="4">
        <v>25</v>
      </c>
      <c r="H75" s="4">
        <v>55</v>
      </c>
      <c r="I75" s="4" t="s">
        <v>218</v>
      </c>
      <c r="J75" s="4">
        <v>34</v>
      </c>
      <c r="K75" s="4" t="s">
        <v>224</v>
      </c>
      <c r="L75" s="4">
        <v>1.5</v>
      </c>
      <c r="M75" s="4">
        <v>28</v>
      </c>
      <c r="N75" s="6">
        <v>1217.5999999999999</v>
      </c>
      <c r="O75" s="6">
        <v>18.600000000000001</v>
      </c>
      <c r="P75" s="4">
        <v>1.5</v>
      </c>
      <c r="Q75" s="1">
        <v>43.51</v>
      </c>
      <c r="R75" s="1">
        <v>22.55</v>
      </c>
      <c r="S75" s="8">
        <f t="shared" si="3"/>
        <v>66.06</v>
      </c>
      <c r="T75" s="8">
        <f t="shared" si="4"/>
        <v>37.853699999999996</v>
      </c>
      <c r="U75" s="8">
        <f t="shared" si="5"/>
        <v>19.618500000000001</v>
      </c>
      <c r="V75" s="4" t="s">
        <v>232</v>
      </c>
      <c r="W75" s="4" t="s">
        <v>232</v>
      </c>
    </row>
    <row r="76" spans="1:23" s="4" customFormat="1" x14ac:dyDescent="0.25">
      <c r="A76" s="4" t="s">
        <v>152</v>
      </c>
      <c r="B76" s="5" t="s">
        <v>153</v>
      </c>
      <c r="C76" s="5" t="s">
        <v>18</v>
      </c>
      <c r="D76" s="5" t="s">
        <v>19</v>
      </c>
      <c r="E76" s="5">
        <v>2019</v>
      </c>
      <c r="F76" s="5">
        <v>3</v>
      </c>
      <c r="G76" s="5">
        <v>25</v>
      </c>
      <c r="H76" s="5">
        <v>148</v>
      </c>
      <c r="I76" s="4" t="s">
        <v>218</v>
      </c>
      <c r="K76" s="4" t="s">
        <v>224</v>
      </c>
      <c r="L76" s="4" t="s">
        <v>232</v>
      </c>
      <c r="M76" s="4" t="s">
        <v>232</v>
      </c>
      <c r="N76" s="6">
        <v>920.9</v>
      </c>
      <c r="O76" s="6">
        <v>16.3</v>
      </c>
      <c r="P76" s="4">
        <v>1.5</v>
      </c>
      <c r="Q76" s="1">
        <v>44.21</v>
      </c>
      <c r="R76" s="1">
        <v>21.57</v>
      </c>
      <c r="S76" s="8">
        <f t="shared" si="3"/>
        <v>65.78</v>
      </c>
      <c r="T76" s="8">
        <f t="shared" si="4"/>
        <v>38.462699999999998</v>
      </c>
      <c r="U76" s="8">
        <f t="shared" si="5"/>
        <v>18.765899999999998</v>
      </c>
      <c r="V76" s="4" t="s">
        <v>232</v>
      </c>
      <c r="W76" s="4" t="s">
        <v>232</v>
      </c>
    </row>
    <row r="77" spans="1:23" s="4" customFormat="1" x14ac:dyDescent="0.25">
      <c r="A77" s="4" t="s">
        <v>164</v>
      </c>
      <c r="B77" s="5" t="s">
        <v>102</v>
      </c>
      <c r="C77" s="5" t="s">
        <v>18</v>
      </c>
      <c r="D77" s="5" t="s">
        <v>19</v>
      </c>
      <c r="E77" s="5">
        <v>2019</v>
      </c>
      <c r="F77" s="5">
        <v>1</v>
      </c>
      <c r="G77" s="5">
        <v>26</v>
      </c>
      <c r="H77" s="5">
        <v>37</v>
      </c>
      <c r="I77" s="4" t="s">
        <v>218</v>
      </c>
      <c r="J77" s="4">
        <v>30</v>
      </c>
      <c r="K77" s="4" t="s">
        <v>224</v>
      </c>
      <c r="L77" s="4">
        <v>1</v>
      </c>
      <c r="M77" s="4">
        <v>20</v>
      </c>
      <c r="N77" s="6">
        <v>837.1</v>
      </c>
      <c r="O77" s="6">
        <v>13.7</v>
      </c>
      <c r="P77" s="4">
        <v>2</v>
      </c>
      <c r="Q77" s="1">
        <v>43.75</v>
      </c>
      <c r="R77" s="1">
        <v>22.45</v>
      </c>
      <c r="S77" s="8">
        <f t="shared" si="3"/>
        <v>66.2</v>
      </c>
      <c r="T77" s="8">
        <f t="shared" si="4"/>
        <v>38.0625</v>
      </c>
      <c r="U77" s="8">
        <f t="shared" si="5"/>
        <v>19.531499999999998</v>
      </c>
      <c r="V77" s="4" t="s">
        <v>226</v>
      </c>
      <c r="W77" s="4" t="s">
        <v>232</v>
      </c>
    </row>
    <row r="78" spans="1:23" s="4" customFormat="1" x14ac:dyDescent="0.25">
      <c r="A78" s="4" t="s">
        <v>101</v>
      </c>
      <c r="B78" s="5" t="s">
        <v>102</v>
      </c>
      <c r="C78" s="5" t="s">
        <v>18</v>
      </c>
      <c r="D78" s="5" t="s">
        <v>19</v>
      </c>
      <c r="E78" s="5">
        <v>2019</v>
      </c>
      <c r="F78" s="5">
        <v>2</v>
      </c>
      <c r="G78" s="5">
        <v>26</v>
      </c>
      <c r="H78" s="5">
        <v>69</v>
      </c>
      <c r="I78" s="4" t="s">
        <v>218</v>
      </c>
      <c r="J78" s="4">
        <v>30</v>
      </c>
      <c r="K78" s="4" t="s">
        <v>224</v>
      </c>
      <c r="L78" s="4">
        <v>1</v>
      </c>
      <c r="M78" s="4">
        <v>28</v>
      </c>
      <c r="N78" s="6">
        <v>1136.5</v>
      </c>
      <c r="O78" s="6">
        <v>12.9</v>
      </c>
      <c r="P78" s="4">
        <v>1.5</v>
      </c>
      <c r="Q78" s="1">
        <v>43.69</v>
      </c>
      <c r="R78" s="1">
        <v>22.26</v>
      </c>
      <c r="S78" s="8">
        <f t="shared" si="3"/>
        <v>65.95</v>
      </c>
      <c r="T78" s="8">
        <f t="shared" si="4"/>
        <v>38.010300000000001</v>
      </c>
      <c r="U78" s="8">
        <f t="shared" si="5"/>
        <v>19.366200000000003</v>
      </c>
      <c r="V78" s="4" t="s">
        <v>232</v>
      </c>
      <c r="W78" s="4" t="s">
        <v>232</v>
      </c>
    </row>
    <row r="79" spans="1:23" s="4" customFormat="1" x14ac:dyDescent="0.25">
      <c r="A79" s="4" t="s">
        <v>208</v>
      </c>
      <c r="B79" s="4" t="s">
        <v>102</v>
      </c>
      <c r="C79" s="4" t="s">
        <v>18</v>
      </c>
      <c r="D79" s="4" t="s">
        <v>19</v>
      </c>
      <c r="E79" s="4">
        <v>2019</v>
      </c>
      <c r="F79" s="4">
        <v>3</v>
      </c>
      <c r="G79" s="4">
        <v>26</v>
      </c>
      <c r="H79" s="4">
        <v>135</v>
      </c>
      <c r="I79" s="4" t="s">
        <v>218</v>
      </c>
      <c r="K79" s="4" t="s">
        <v>224</v>
      </c>
      <c r="L79" s="4" t="s">
        <v>232</v>
      </c>
      <c r="M79" s="4" t="s">
        <v>232</v>
      </c>
      <c r="N79" s="6">
        <v>742.8</v>
      </c>
      <c r="O79" s="6">
        <v>11.4</v>
      </c>
      <c r="P79" s="4">
        <v>2</v>
      </c>
      <c r="Q79" s="1">
        <v>44.12</v>
      </c>
      <c r="R79" s="1">
        <v>21.62</v>
      </c>
      <c r="S79" s="8">
        <f t="shared" si="3"/>
        <v>65.739999999999995</v>
      </c>
      <c r="T79" s="8">
        <f t="shared" si="4"/>
        <v>38.384399999999999</v>
      </c>
      <c r="U79" s="8">
        <f t="shared" si="5"/>
        <v>18.8094</v>
      </c>
      <c r="V79" s="4" t="s">
        <v>232</v>
      </c>
      <c r="W79" s="4" t="s">
        <v>232</v>
      </c>
    </row>
    <row r="80" spans="1:23" s="4" customFormat="1" x14ac:dyDescent="0.25">
      <c r="A80" s="4" t="s">
        <v>135</v>
      </c>
      <c r="B80" s="5" t="s">
        <v>136</v>
      </c>
      <c r="C80" s="5" t="s">
        <v>18</v>
      </c>
      <c r="D80" s="5" t="s">
        <v>19</v>
      </c>
      <c r="E80" s="5">
        <v>2019</v>
      </c>
      <c r="F80" s="5">
        <v>1</v>
      </c>
      <c r="G80" s="5">
        <v>27</v>
      </c>
      <c r="H80" s="5">
        <v>28</v>
      </c>
      <c r="I80" s="4" t="s">
        <v>219</v>
      </c>
      <c r="J80" s="4">
        <v>31</v>
      </c>
      <c r="K80" s="4" t="s">
        <v>224</v>
      </c>
      <c r="L80" s="4">
        <v>1</v>
      </c>
      <c r="M80" s="4">
        <v>27</v>
      </c>
      <c r="N80" s="6">
        <v>1281.9000000000001</v>
      </c>
      <c r="O80" s="6">
        <v>14.5</v>
      </c>
      <c r="P80" s="4">
        <v>1.5</v>
      </c>
      <c r="Q80" s="1">
        <v>42.52</v>
      </c>
      <c r="R80" s="1">
        <v>22.05</v>
      </c>
      <c r="S80" s="8">
        <f t="shared" si="3"/>
        <v>64.570000000000007</v>
      </c>
      <c r="T80" s="8">
        <f t="shared" si="4"/>
        <v>36.992400000000004</v>
      </c>
      <c r="U80" s="8">
        <f t="shared" si="5"/>
        <v>19.183500000000002</v>
      </c>
      <c r="V80" s="4" t="s">
        <v>232</v>
      </c>
      <c r="W80" s="4" t="s">
        <v>232</v>
      </c>
    </row>
    <row r="81" spans="1:23" s="4" customFormat="1" x14ac:dyDescent="0.25">
      <c r="A81" s="4" t="s">
        <v>142</v>
      </c>
      <c r="B81" s="5" t="s">
        <v>136</v>
      </c>
      <c r="C81" s="5" t="s">
        <v>18</v>
      </c>
      <c r="D81" s="5" t="s">
        <v>19</v>
      </c>
      <c r="E81" s="5">
        <v>2019</v>
      </c>
      <c r="F81" s="5">
        <v>2</v>
      </c>
      <c r="G81" s="5">
        <v>27</v>
      </c>
      <c r="H81" s="5">
        <v>83</v>
      </c>
      <c r="I81" s="4" t="s">
        <v>219</v>
      </c>
      <c r="J81" s="4">
        <v>33</v>
      </c>
      <c r="K81" s="4" t="s">
        <v>224</v>
      </c>
      <c r="L81" s="4">
        <v>1.5</v>
      </c>
      <c r="M81" s="4">
        <v>27</v>
      </c>
      <c r="N81" s="6">
        <v>1149</v>
      </c>
      <c r="O81" s="6">
        <v>14.3</v>
      </c>
      <c r="P81" s="4">
        <v>2</v>
      </c>
      <c r="Q81" s="1">
        <v>42.74</v>
      </c>
      <c r="R81" s="1">
        <v>21.6</v>
      </c>
      <c r="S81" s="8">
        <f t="shared" si="3"/>
        <v>64.34</v>
      </c>
      <c r="T81" s="8">
        <f t="shared" si="4"/>
        <v>37.183800000000005</v>
      </c>
      <c r="U81" s="8">
        <f t="shared" si="5"/>
        <v>18.792000000000002</v>
      </c>
      <c r="V81" s="4" t="s">
        <v>232</v>
      </c>
      <c r="W81" s="4" t="s">
        <v>232</v>
      </c>
    </row>
    <row r="82" spans="1:23" s="4" customFormat="1" x14ac:dyDescent="0.25">
      <c r="A82" s="4" t="s">
        <v>143</v>
      </c>
      <c r="B82" s="5" t="s">
        <v>136</v>
      </c>
      <c r="C82" s="5" t="s">
        <v>18</v>
      </c>
      <c r="D82" s="5" t="s">
        <v>19</v>
      </c>
      <c r="E82" s="5">
        <v>2019</v>
      </c>
      <c r="F82" s="5">
        <v>3</v>
      </c>
      <c r="G82" s="5">
        <v>27</v>
      </c>
      <c r="H82" s="5">
        <v>133</v>
      </c>
      <c r="I82" s="4" t="s">
        <v>219</v>
      </c>
      <c r="K82" s="4" t="s">
        <v>224</v>
      </c>
      <c r="L82" s="4" t="s">
        <v>232</v>
      </c>
      <c r="M82" s="4" t="s">
        <v>232</v>
      </c>
      <c r="N82" s="6">
        <v>793.8</v>
      </c>
      <c r="O82" s="6">
        <v>14.6</v>
      </c>
      <c r="P82" s="4">
        <v>2</v>
      </c>
      <c r="Q82" s="1">
        <v>41.83</v>
      </c>
      <c r="R82" s="1">
        <v>22.21</v>
      </c>
      <c r="S82" s="8">
        <f t="shared" si="3"/>
        <v>64.039999999999992</v>
      </c>
      <c r="T82" s="8">
        <f t="shared" si="4"/>
        <v>36.392099999999999</v>
      </c>
      <c r="U82" s="8">
        <f t="shared" si="5"/>
        <v>19.322700000000001</v>
      </c>
      <c r="V82" s="4" t="s">
        <v>221</v>
      </c>
      <c r="W82" s="4" t="s">
        <v>232</v>
      </c>
    </row>
    <row r="83" spans="1:23" s="4" customFormat="1" x14ac:dyDescent="0.25">
      <c r="A83" s="4" t="s">
        <v>188</v>
      </c>
      <c r="B83" s="4" t="s">
        <v>156</v>
      </c>
      <c r="C83" s="4" t="s">
        <v>18</v>
      </c>
      <c r="D83" s="4" t="s">
        <v>19</v>
      </c>
      <c r="E83" s="4">
        <v>2019</v>
      </c>
      <c r="F83" s="4">
        <v>1</v>
      </c>
      <c r="G83" s="4">
        <v>28</v>
      </c>
      <c r="H83" s="4">
        <v>5</v>
      </c>
      <c r="I83" s="4" t="s">
        <v>219</v>
      </c>
      <c r="J83" s="4">
        <v>30</v>
      </c>
      <c r="K83" s="4" t="s">
        <v>223</v>
      </c>
      <c r="L83" s="4">
        <v>1</v>
      </c>
      <c r="M83" s="4">
        <v>23</v>
      </c>
      <c r="N83" s="6">
        <v>1279.5999999999999</v>
      </c>
      <c r="O83" s="6">
        <v>16.600000000000001</v>
      </c>
      <c r="P83" s="4">
        <v>2</v>
      </c>
      <c r="Q83" s="1">
        <v>41.66</v>
      </c>
      <c r="R83" s="1">
        <v>23.06</v>
      </c>
      <c r="S83" s="8">
        <f t="shared" si="3"/>
        <v>64.72</v>
      </c>
      <c r="T83" s="8">
        <f t="shared" si="4"/>
        <v>36.244199999999999</v>
      </c>
      <c r="U83" s="8">
        <f t="shared" si="5"/>
        <v>20.062199999999997</v>
      </c>
      <c r="V83" s="4" t="s">
        <v>232</v>
      </c>
      <c r="W83" s="4" t="s">
        <v>232</v>
      </c>
    </row>
    <row r="84" spans="1:23" s="4" customFormat="1" x14ac:dyDescent="0.25">
      <c r="A84" s="4" t="s">
        <v>155</v>
      </c>
      <c r="B84" s="5" t="s">
        <v>156</v>
      </c>
      <c r="C84" s="5" t="s">
        <v>18</v>
      </c>
      <c r="D84" s="5" t="s">
        <v>19</v>
      </c>
      <c r="E84" s="5">
        <v>2019</v>
      </c>
      <c r="F84" s="5">
        <v>2</v>
      </c>
      <c r="G84" s="5">
        <v>28</v>
      </c>
      <c r="H84" s="5">
        <v>97</v>
      </c>
      <c r="I84" s="4" t="s">
        <v>219</v>
      </c>
      <c r="J84" s="4">
        <v>32</v>
      </c>
      <c r="K84" s="4" t="s">
        <v>223</v>
      </c>
      <c r="L84" s="4">
        <v>1</v>
      </c>
      <c r="M84" s="4">
        <v>24</v>
      </c>
      <c r="N84" s="6">
        <v>1222.9000000000001</v>
      </c>
      <c r="O84" s="6">
        <v>16.399999999999999</v>
      </c>
      <c r="P84" s="4">
        <v>1.5</v>
      </c>
      <c r="Q84" s="1">
        <v>42.7</v>
      </c>
      <c r="R84" s="1">
        <v>22.24</v>
      </c>
      <c r="S84" s="8">
        <f t="shared" si="3"/>
        <v>64.94</v>
      </c>
      <c r="T84" s="8">
        <f t="shared" si="4"/>
        <v>37.149000000000001</v>
      </c>
      <c r="U84" s="8">
        <f t="shared" si="5"/>
        <v>19.348799999999997</v>
      </c>
      <c r="V84" s="4" t="s">
        <v>232</v>
      </c>
      <c r="W84" s="4" t="s">
        <v>232</v>
      </c>
    </row>
    <row r="85" spans="1:23" s="4" customFormat="1" x14ac:dyDescent="0.25">
      <c r="A85" s="4" t="s">
        <v>214</v>
      </c>
      <c r="B85" s="4" t="s">
        <v>156</v>
      </c>
      <c r="C85" s="4" t="s">
        <v>18</v>
      </c>
      <c r="D85" s="4" t="s">
        <v>19</v>
      </c>
      <c r="E85" s="4">
        <v>2019</v>
      </c>
      <c r="F85" s="4">
        <v>3</v>
      </c>
      <c r="G85" s="4">
        <v>28</v>
      </c>
      <c r="H85" s="4">
        <v>145</v>
      </c>
      <c r="I85" s="4" t="s">
        <v>219</v>
      </c>
      <c r="K85" s="4" t="s">
        <v>223</v>
      </c>
      <c r="L85" s="4" t="s">
        <v>232</v>
      </c>
      <c r="M85" s="4" t="s">
        <v>232</v>
      </c>
      <c r="N85" s="6">
        <v>772</v>
      </c>
      <c r="O85" s="6">
        <v>14.2</v>
      </c>
      <c r="P85" s="4">
        <v>2</v>
      </c>
      <c r="Q85" s="1">
        <v>41.84</v>
      </c>
      <c r="R85" s="1">
        <v>22.73</v>
      </c>
      <c r="S85" s="8">
        <f t="shared" si="3"/>
        <v>64.570000000000007</v>
      </c>
      <c r="T85" s="8">
        <f t="shared" si="4"/>
        <v>36.400800000000004</v>
      </c>
      <c r="U85" s="8">
        <f t="shared" si="5"/>
        <v>19.775100000000002</v>
      </c>
      <c r="V85" s="4" t="s">
        <v>232</v>
      </c>
      <c r="W85" s="4" t="s">
        <v>232</v>
      </c>
    </row>
    <row r="86" spans="1:23" s="4" customFormat="1" x14ac:dyDescent="0.25">
      <c r="A86" s="4" t="s">
        <v>215</v>
      </c>
      <c r="B86" s="4" t="s">
        <v>23</v>
      </c>
      <c r="C86" s="4" t="s">
        <v>18</v>
      </c>
      <c r="D86" s="4" t="s">
        <v>19</v>
      </c>
      <c r="E86" s="4">
        <v>2019</v>
      </c>
      <c r="F86" s="4">
        <v>1</v>
      </c>
      <c r="G86" s="4">
        <v>29</v>
      </c>
      <c r="H86" s="4">
        <v>46</v>
      </c>
      <c r="I86" s="4" t="s">
        <v>218</v>
      </c>
      <c r="J86" s="4">
        <v>30</v>
      </c>
      <c r="K86" s="4" t="s">
        <v>224</v>
      </c>
      <c r="L86" s="4">
        <v>1.5</v>
      </c>
      <c r="M86" s="4">
        <v>29</v>
      </c>
      <c r="N86" s="6">
        <v>1266.2</v>
      </c>
      <c r="O86" s="6">
        <v>13.9</v>
      </c>
      <c r="P86" s="4">
        <v>2</v>
      </c>
      <c r="Q86" s="1">
        <v>44.24</v>
      </c>
      <c r="R86" s="1">
        <v>22.05</v>
      </c>
      <c r="S86" s="8">
        <f t="shared" si="3"/>
        <v>66.290000000000006</v>
      </c>
      <c r="T86" s="8">
        <f t="shared" si="4"/>
        <v>38.488800000000005</v>
      </c>
      <c r="U86" s="8">
        <f t="shared" si="5"/>
        <v>19.183500000000002</v>
      </c>
      <c r="V86" s="4" t="s">
        <v>232</v>
      </c>
      <c r="W86" s="4" t="s">
        <v>232</v>
      </c>
    </row>
    <row r="87" spans="1:23" s="4" customFormat="1" x14ac:dyDescent="0.25">
      <c r="A87" s="4" t="s">
        <v>71</v>
      </c>
      <c r="B87" s="5" t="s">
        <v>23</v>
      </c>
      <c r="C87" s="5" t="s">
        <v>18</v>
      </c>
      <c r="D87" s="5" t="s">
        <v>19</v>
      </c>
      <c r="E87" s="5">
        <v>2019</v>
      </c>
      <c r="F87" s="5">
        <v>2</v>
      </c>
      <c r="G87" s="5">
        <v>29</v>
      </c>
      <c r="H87" s="5">
        <v>100</v>
      </c>
      <c r="I87" s="4" t="s">
        <v>218</v>
      </c>
      <c r="J87" s="4">
        <v>30</v>
      </c>
      <c r="K87" s="4" t="s">
        <v>224</v>
      </c>
      <c r="L87" s="4">
        <v>1.5</v>
      </c>
      <c r="M87" s="4">
        <v>28</v>
      </c>
      <c r="N87" s="6">
        <v>1032.8</v>
      </c>
      <c r="O87" s="6">
        <v>12.1</v>
      </c>
      <c r="P87" s="4">
        <v>1.5</v>
      </c>
      <c r="Q87" s="1">
        <v>42.79</v>
      </c>
      <c r="R87" s="1">
        <v>22.98</v>
      </c>
      <c r="S87" s="8">
        <f t="shared" si="3"/>
        <v>65.77</v>
      </c>
      <c r="T87" s="8">
        <f t="shared" si="4"/>
        <v>37.2273</v>
      </c>
      <c r="U87" s="8">
        <f t="shared" si="5"/>
        <v>19.992599999999999</v>
      </c>
      <c r="V87" s="4" t="s">
        <v>227</v>
      </c>
      <c r="W87" s="4" t="s">
        <v>232</v>
      </c>
    </row>
    <row r="88" spans="1:23" s="4" customFormat="1" x14ac:dyDescent="0.25">
      <c r="A88" s="4" t="s">
        <v>22</v>
      </c>
      <c r="B88" s="5" t="s">
        <v>23</v>
      </c>
      <c r="C88" s="5" t="s">
        <v>18</v>
      </c>
      <c r="D88" s="5" t="s">
        <v>19</v>
      </c>
      <c r="E88" s="5">
        <v>2019</v>
      </c>
      <c r="F88" s="5">
        <v>3</v>
      </c>
      <c r="G88" s="5">
        <v>29</v>
      </c>
      <c r="H88" s="5">
        <v>101</v>
      </c>
      <c r="I88" s="4" t="s">
        <v>218</v>
      </c>
      <c r="K88" s="4" t="s">
        <v>224</v>
      </c>
      <c r="L88" s="4" t="s">
        <v>232</v>
      </c>
      <c r="M88" s="4" t="s">
        <v>232</v>
      </c>
      <c r="N88" s="6">
        <v>729.1</v>
      </c>
      <c r="O88" s="6">
        <v>12.9</v>
      </c>
      <c r="P88" s="4">
        <v>2.5</v>
      </c>
      <c r="Q88" s="1">
        <v>44.65</v>
      </c>
      <c r="R88" s="1">
        <v>21.92</v>
      </c>
      <c r="S88" s="8">
        <f t="shared" si="3"/>
        <v>66.569999999999993</v>
      </c>
      <c r="T88" s="8">
        <f t="shared" si="4"/>
        <v>38.845500000000001</v>
      </c>
      <c r="U88" s="8">
        <f t="shared" si="5"/>
        <v>19.070400000000003</v>
      </c>
      <c r="V88" s="4" t="s">
        <v>232</v>
      </c>
      <c r="W88" s="4" t="s">
        <v>232</v>
      </c>
    </row>
    <row r="89" spans="1:23" s="4" customFormat="1" x14ac:dyDescent="0.25">
      <c r="A89" s="4" t="s">
        <v>194</v>
      </c>
      <c r="B89" s="4" t="s">
        <v>80</v>
      </c>
      <c r="C89" s="4" t="s">
        <v>18</v>
      </c>
      <c r="D89" s="4" t="s">
        <v>19</v>
      </c>
      <c r="E89" s="4">
        <v>2019</v>
      </c>
      <c r="F89" s="4">
        <v>1</v>
      </c>
      <c r="G89" s="4">
        <v>30</v>
      </c>
      <c r="H89" s="4">
        <v>15</v>
      </c>
      <c r="I89" s="4" t="s">
        <v>218</v>
      </c>
      <c r="J89" s="4">
        <v>30</v>
      </c>
      <c r="K89" s="4" t="s">
        <v>224</v>
      </c>
      <c r="L89" s="4">
        <v>1.5</v>
      </c>
      <c r="M89" s="4">
        <v>28</v>
      </c>
      <c r="N89" s="6">
        <v>1342.5</v>
      </c>
      <c r="O89" s="6">
        <v>13.5</v>
      </c>
      <c r="P89" s="4">
        <v>1.5</v>
      </c>
      <c r="Q89" s="1">
        <v>43.06</v>
      </c>
      <c r="R89" s="1">
        <v>22.59</v>
      </c>
      <c r="S89" s="8">
        <f t="shared" si="3"/>
        <v>65.650000000000006</v>
      </c>
      <c r="T89" s="8">
        <f t="shared" si="4"/>
        <v>37.462200000000003</v>
      </c>
      <c r="U89" s="8">
        <f t="shared" si="5"/>
        <v>19.653300000000002</v>
      </c>
      <c r="V89" s="4" t="s">
        <v>232</v>
      </c>
      <c r="W89" s="4" t="s">
        <v>232</v>
      </c>
    </row>
    <row r="90" spans="1:23" s="4" customFormat="1" x14ac:dyDescent="0.25">
      <c r="A90" s="4" t="s">
        <v>182</v>
      </c>
      <c r="B90" s="4" t="s">
        <v>80</v>
      </c>
      <c r="C90" s="4" t="s">
        <v>18</v>
      </c>
      <c r="D90" s="4" t="s">
        <v>19</v>
      </c>
      <c r="E90" s="4">
        <v>2019</v>
      </c>
      <c r="F90" s="4">
        <v>2</v>
      </c>
      <c r="G90" s="4">
        <v>30</v>
      </c>
      <c r="H90" s="4">
        <v>57</v>
      </c>
      <c r="I90" s="4" t="s">
        <v>218</v>
      </c>
      <c r="J90" s="4">
        <v>30</v>
      </c>
      <c r="K90" s="4" t="s">
        <v>224</v>
      </c>
      <c r="L90" s="4">
        <v>1.5</v>
      </c>
      <c r="M90" s="4">
        <v>25</v>
      </c>
      <c r="N90" s="6">
        <v>1415.8</v>
      </c>
      <c r="O90" s="6">
        <v>13.9</v>
      </c>
      <c r="P90" s="4">
        <v>1.5</v>
      </c>
      <c r="Q90" s="1">
        <v>43.54</v>
      </c>
      <c r="R90" s="1">
        <v>21.99</v>
      </c>
      <c r="S90" s="8">
        <f t="shared" si="3"/>
        <v>65.53</v>
      </c>
      <c r="T90" s="8">
        <f t="shared" si="4"/>
        <v>37.879799999999996</v>
      </c>
      <c r="U90" s="8">
        <f t="shared" si="5"/>
        <v>19.1313</v>
      </c>
      <c r="V90" s="4" t="s">
        <v>232</v>
      </c>
      <c r="W90" s="4" t="s">
        <v>232</v>
      </c>
    </row>
    <row r="91" spans="1:23" s="4" customFormat="1" x14ac:dyDescent="0.25">
      <c r="A91" s="4" t="s">
        <v>79</v>
      </c>
      <c r="B91" s="5" t="s">
        <v>80</v>
      </c>
      <c r="C91" s="5" t="s">
        <v>18</v>
      </c>
      <c r="D91" s="5" t="s">
        <v>19</v>
      </c>
      <c r="E91" s="5">
        <v>2019</v>
      </c>
      <c r="F91" s="5">
        <v>3</v>
      </c>
      <c r="G91" s="5">
        <v>30</v>
      </c>
      <c r="H91" s="5">
        <v>142</v>
      </c>
      <c r="I91" s="4" t="s">
        <v>218</v>
      </c>
      <c r="K91" s="4" t="s">
        <v>224</v>
      </c>
      <c r="L91" s="4" t="s">
        <v>232</v>
      </c>
      <c r="M91" s="4" t="s">
        <v>232</v>
      </c>
      <c r="N91" s="6">
        <v>790.7</v>
      </c>
      <c r="O91" s="6">
        <v>11.6</v>
      </c>
      <c r="P91" s="4">
        <v>2</v>
      </c>
      <c r="Q91" s="1">
        <v>42.72</v>
      </c>
      <c r="R91" s="1">
        <v>21.77</v>
      </c>
      <c r="S91" s="8">
        <f t="shared" si="3"/>
        <v>64.489999999999995</v>
      </c>
      <c r="T91" s="8">
        <f t="shared" si="4"/>
        <v>37.166399999999996</v>
      </c>
      <c r="U91" s="8">
        <f t="shared" si="5"/>
        <v>18.939899999999998</v>
      </c>
      <c r="V91" s="4" t="s">
        <v>232</v>
      </c>
      <c r="W91" s="4" t="s">
        <v>232</v>
      </c>
    </row>
    <row r="92" spans="1:23" s="4" customFormat="1" x14ac:dyDescent="0.25">
      <c r="A92" s="4" t="s">
        <v>200</v>
      </c>
      <c r="B92" s="4" t="s">
        <v>60</v>
      </c>
      <c r="C92" s="4" t="s">
        <v>18</v>
      </c>
      <c r="D92" s="4" t="s">
        <v>19</v>
      </c>
      <c r="E92" s="4">
        <v>2019</v>
      </c>
      <c r="F92" s="4">
        <v>1</v>
      </c>
      <c r="G92" s="4">
        <v>31</v>
      </c>
      <c r="H92" s="4">
        <v>25</v>
      </c>
      <c r="I92" s="4" t="s">
        <v>218</v>
      </c>
      <c r="J92" s="4">
        <v>30</v>
      </c>
      <c r="K92" s="4" t="s">
        <v>224</v>
      </c>
      <c r="L92" s="4">
        <v>1.5</v>
      </c>
      <c r="M92" s="4">
        <v>28</v>
      </c>
      <c r="N92" s="6">
        <v>1305.4000000000001</v>
      </c>
      <c r="O92" s="6">
        <v>17.8</v>
      </c>
      <c r="P92" s="4">
        <v>1</v>
      </c>
      <c r="Q92" s="1">
        <v>43.05</v>
      </c>
      <c r="R92" s="1">
        <v>22.38</v>
      </c>
      <c r="S92" s="8">
        <f t="shared" si="3"/>
        <v>65.429999999999993</v>
      </c>
      <c r="T92" s="8">
        <f t="shared" si="4"/>
        <v>37.453499999999998</v>
      </c>
      <c r="U92" s="8">
        <f t="shared" si="5"/>
        <v>19.470599999999997</v>
      </c>
      <c r="V92" s="4" t="s">
        <v>232</v>
      </c>
      <c r="W92" s="4" t="s">
        <v>232</v>
      </c>
    </row>
    <row r="93" spans="1:23" s="4" customFormat="1" x14ac:dyDescent="0.25">
      <c r="A93" s="4" t="s">
        <v>59</v>
      </c>
      <c r="B93" s="5" t="s">
        <v>60</v>
      </c>
      <c r="C93" s="5" t="s">
        <v>18</v>
      </c>
      <c r="D93" s="5" t="s">
        <v>19</v>
      </c>
      <c r="E93" s="5">
        <v>2019</v>
      </c>
      <c r="F93" s="5">
        <v>2</v>
      </c>
      <c r="G93" s="5">
        <v>31</v>
      </c>
      <c r="H93" s="5">
        <v>90</v>
      </c>
      <c r="I93" s="4" t="s">
        <v>218</v>
      </c>
      <c r="J93" s="4">
        <v>30</v>
      </c>
      <c r="K93" s="4" t="s">
        <v>224</v>
      </c>
      <c r="L93" s="4">
        <v>1.5</v>
      </c>
      <c r="M93" s="4">
        <v>25</v>
      </c>
      <c r="N93" s="6">
        <v>806.4</v>
      </c>
      <c r="O93" s="6">
        <v>19.399999999999999</v>
      </c>
      <c r="P93" s="4">
        <v>1</v>
      </c>
      <c r="Q93" s="1">
        <v>43.79</v>
      </c>
      <c r="R93" s="1">
        <v>22.3</v>
      </c>
      <c r="S93" s="8">
        <f t="shared" si="3"/>
        <v>66.09</v>
      </c>
      <c r="T93" s="8">
        <f t="shared" si="4"/>
        <v>38.097299999999997</v>
      </c>
      <c r="U93" s="8">
        <f t="shared" si="5"/>
        <v>19.401</v>
      </c>
      <c r="V93" s="4" t="s">
        <v>232</v>
      </c>
      <c r="W93" s="4" t="s">
        <v>232</v>
      </c>
    </row>
    <row r="94" spans="1:23" s="4" customFormat="1" x14ac:dyDescent="0.25">
      <c r="A94" s="4" t="s">
        <v>205</v>
      </c>
      <c r="B94" s="4" t="s">
        <v>60</v>
      </c>
      <c r="C94" s="4" t="s">
        <v>18</v>
      </c>
      <c r="D94" s="4" t="s">
        <v>19</v>
      </c>
      <c r="E94" s="4">
        <v>2019</v>
      </c>
      <c r="F94" s="4">
        <v>3</v>
      </c>
      <c r="G94" s="4">
        <v>31</v>
      </c>
      <c r="H94" s="4">
        <v>126</v>
      </c>
      <c r="I94" s="4" t="s">
        <v>218</v>
      </c>
      <c r="K94" s="4" t="s">
        <v>224</v>
      </c>
      <c r="L94" s="4" t="s">
        <v>232</v>
      </c>
      <c r="M94" s="4" t="s">
        <v>232</v>
      </c>
      <c r="N94" s="6">
        <v>980.9</v>
      </c>
      <c r="O94" s="6">
        <v>17.7</v>
      </c>
      <c r="P94" s="4">
        <v>1.5</v>
      </c>
      <c r="Q94" s="1">
        <v>41.5</v>
      </c>
      <c r="R94" s="1">
        <v>22.6</v>
      </c>
      <c r="S94" s="8">
        <f t="shared" si="3"/>
        <v>64.099999999999994</v>
      </c>
      <c r="T94" s="8">
        <f t="shared" si="4"/>
        <v>36.104999999999997</v>
      </c>
      <c r="U94" s="8">
        <f t="shared" si="5"/>
        <v>19.662000000000003</v>
      </c>
      <c r="V94" s="4" t="s">
        <v>232</v>
      </c>
      <c r="W94" s="4" t="s">
        <v>232</v>
      </c>
    </row>
    <row r="95" spans="1:23" s="4" customFormat="1" x14ac:dyDescent="0.25">
      <c r="A95" s="4" t="s">
        <v>30</v>
      </c>
      <c r="B95" s="5" t="s">
        <v>31</v>
      </c>
      <c r="C95" s="5" t="s">
        <v>18</v>
      </c>
      <c r="D95" s="5" t="s">
        <v>19</v>
      </c>
      <c r="E95" s="5">
        <v>2019</v>
      </c>
      <c r="F95" s="5">
        <v>1</v>
      </c>
      <c r="G95" s="5">
        <v>32</v>
      </c>
      <c r="H95" s="5">
        <v>11</v>
      </c>
      <c r="I95" s="4" t="s">
        <v>218</v>
      </c>
      <c r="J95" s="4">
        <v>30</v>
      </c>
      <c r="K95" s="4" t="s">
        <v>224</v>
      </c>
      <c r="L95" s="4">
        <v>2</v>
      </c>
      <c r="M95" s="4">
        <v>42</v>
      </c>
      <c r="N95" s="6">
        <v>638.29999999999995</v>
      </c>
      <c r="O95" s="6">
        <v>15.9</v>
      </c>
      <c r="P95" s="4">
        <v>2</v>
      </c>
      <c r="Q95" s="1">
        <v>42.79</v>
      </c>
      <c r="R95" s="1">
        <v>22.49</v>
      </c>
      <c r="S95" s="8">
        <f t="shared" si="3"/>
        <v>65.28</v>
      </c>
      <c r="T95" s="8">
        <f t="shared" si="4"/>
        <v>37.2273</v>
      </c>
      <c r="U95" s="8">
        <f t="shared" si="5"/>
        <v>19.566299999999998</v>
      </c>
      <c r="V95" s="4" t="s">
        <v>232</v>
      </c>
      <c r="W95" s="4" t="s">
        <v>232</v>
      </c>
    </row>
    <row r="96" spans="1:23" s="4" customFormat="1" x14ac:dyDescent="0.25">
      <c r="A96" s="4" t="s">
        <v>115</v>
      </c>
      <c r="B96" s="5" t="s">
        <v>31</v>
      </c>
      <c r="C96" s="5" t="s">
        <v>18</v>
      </c>
      <c r="D96" s="5" t="s">
        <v>19</v>
      </c>
      <c r="E96" s="5">
        <v>2019</v>
      </c>
      <c r="F96" s="5">
        <v>2</v>
      </c>
      <c r="G96" s="5">
        <v>32</v>
      </c>
      <c r="H96" s="5">
        <v>52</v>
      </c>
      <c r="I96" s="4" t="s">
        <v>218</v>
      </c>
      <c r="J96" s="4">
        <v>30</v>
      </c>
      <c r="K96" s="4" t="s">
        <v>224</v>
      </c>
      <c r="L96" s="4">
        <v>2</v>
      </c>
      <c r="M96" s="4">
        <v>42</v>
      </c>
      <c r="N96" s="6">
        <v>1128</v>
      </c>
      <c r="O96" s="6">
        <v>20.9</v>
      </c>
      <c r="P96" s="4">
        <v>1</v>
      </c>
      <c r="Q96" s="1">
        <v>42.66</v>
      </c>
      <c r="R96" s="1">
        <v>22.47</v>
      </c>
      <c r="S96" s="8">
        <f t="shared" si="3"/>
        <v>65.13</v>
      </c>
      <c r="T96" s="8">
        <f t="shared" si="4"/>
        <v>37.114199999999997</v>
      </c>
      <c r="U96" s="8">
        <f t="shared" si="5"/>
        <v>19.5489</v>
      </c>
      <c r="V96" s="4" t="s">
        <v>232</v>
      </c>
      <c r="W96" s="4" t="s">
        <v>232</v>
      </c>
    </row>
    <row r="97" spans="1:23" s="4" customFormat="1" x14ac:dyDescent="0.25">
      <c r="A97" s="4" t="s">
        <v>40</v>
      </c>
      <c r="B97" s="5" t="s">
        <v>31</v>
      </c>
      <c r="C97" s="5" t="s">
        <v>18</v>
      </c>
      <c r="D97" s="5" t="s">
        <v>19</v>
      </c>
      <c r="E97" s="5">
        <v>2019</v>
      </c>
      <c r="F97" s="5">
        <v>3</v>
      </c>
      <c r="G97" s="5">
        <v>32</v>
      </c>
      <c r="H97" s="5">
        <v>120</v>
      </c>
      <c r="I97" s="4" t="s">
        <v>218</v>
      </c>
      <c r="K97" s="4" t="s">
        <v>224</v>
      </c>
      <c r="L97" s="4" t="s">
        <v>232</v>
      </c>
      <c r="M97" s="4" t="s">
        <v>232</v>
      </c>
      <c r="N97" s="6">
        <v>267.10000000000002</v>
      </c>
      <c r="O97" s="6">
        <v>14.3</v>
      </c>
      <c r="P97" s="4">
        <v>2.5</v>
      </c>
      <c r="Q97" s="1">
        <v>44.4</v>
      </c>
      <c r="R97" s="1">
        <v>21.02</v>
      </c>
      <c r="S97" s="8">
        <f t="shared" si="3"/>
        <v>65.42</v>
      </c>
      <c r="T97" s="8">
        <f t="shared" si="4"/>
        <v>38.628</v>
      </c>
      <c r="U97" s="8">
        <f t="shared" si="5"/>
        <v>18.287399999999998</v>
      </c>
      <c r="V97" s="4" t="s">
        <v>232</v>
      </c>
      <c r="W97" s="4" t="s">
        <v>232</v>
      </c>
    </row>
    <row r="98" spans="1:23" s="4" customFormat="1" x14ac:dyDescent="0.25">
      <c r="A98" s="4" t="s">
        <v>16</v>
      </c>
      <c r="B98" s="5" t="s">
        <v>17</v>
      </c>
      <c r="C98" s="5" t="s">
        <v>18</v>
      </c>
      <c r="D98" s="5" t="s">
        <v>19</v>
      </c>
      <c r="E98" s="5">
        <v>2019</v>
      </c>
      <c r="F98" s="5">
        <v>1</v>
      </c>
      <c r="G98" s="5">
        <v>33</v>
      </c>
      <c r="H98" s="5">
        <v>1</v>
      </c>
      <c r="I98" s="4" t="s">
        <v>218</v>
      </c>
      <c r="J98" s="4">
        <v>30</v>
      </c>
      <c r="K98" s="4" t="s">
        <v>223</v>
      </c>
      <c r="L98" s="4">
        <v>1</v>
      </c>
      <c r="M98" s="4">
        <v>12</v>
      </c>
      <c r="N98" s="6">
        <v>1333.1</v>
      </c>
      <c r="O98" s="6">
        <v>15.3</v>
      </c>
      <c r="P98" s="4">
        <v>1.5</v>
      </c>
      <c r="Q98" s="1">
        <v>41.25</v>
      </c>
      <c r="R98" s="1">
        <v>22.3</v>
      </c>
      <c r="S98" s="8">
        <f t="shared" si="3"/>
        <v>63.55</v>
      </c>
      <c r="T98" s="8">
        <f t="shared" si="4"/>
        <v>35.887500000000003</v>
      </c>
      <c r="U98" s="8">
        <f t="shared" si="5"/>
        <v>19.401</v>
      </c>
      <c r="V98" s="4" t="s">
        <v>232</v>
      </c>
      <c r="W98" s="4" t="s">
        <v>232</v>
      </c>
    </row>
    <row r="99" spans="1:23" s="4" customFormat="1" x14ac:dyDescent="0.25">
      <c r="A99" s="4" t="s">
        <v>126</v>
      </c>
      <c r="B99" s="5" t="s">
        <v>17</v>
      </c>
      <c r="C99" s="5" t="s">
        <v>18</v>
      </c>
      <c r="D99" s="5" t="s">
        <v>19</v>
      </c>
      <c r="E99" s="5">
        <v>2019</v>
      </c>
      <c r="F99" s="5">
        <v>2</v>
      </c>
      <c r="G99" s="5">
        <v>33</v>
      </c>
      <c r="H99" s="5">
        <v>63</v>
      </c>
      <c r="I99" s="4" t="s">
        <v>218</v>
      </c>
      <c r="J99" s="4">
        <v>30</v>
      </c>
      <c r="K99" s="4" t="s">
        <v>223</v>
      </c>
      <c r="L99" s="4">
        <v>1</v>
      </c>
      <c r="M99" s="4">
        <v>19</v>
      </c>
      <c r="N99" s="6">
        <v>1039.2</v>
      </c>
      <c r="O99" s="6">
        <v>16.3</v>
      </c>
      <c r="P99" s="4">
        <v>2</v>
      </c>
      <c r="Q99" s="1">
        <v>41.69</v>
      </c>
      <c r="R99" s="1">
        <v>22</v>
      </c>
      <c r="S99" s="8">
        <f t="shared" si="3"/>
        <v>63.69</v>
      </c>
      <c r="T99" s="8">
        <f t="shared" si="4"/>
        <v>36.270299999999999</v>
      </c>
      <c r="U99" s="8">
        <f t="shared" si="5"/>
        <v>19.14</v>
      </c>
      <c r="V99" s="4" t="s">
        <v>232</v>
      </c>
      <c r="W99" s="4" t="s">
        <v>232</v>
      </c>
    </row>
    <row r="100" spans="1:23" s="4" customFormat="1" x14ac:dyDescent="0.25">
      <c r="A100" s="4" t="s">
        <v>94</v>
      </c>
      <c r="B100" s="5" t="s">
        <v>17</v>
      </c>
      <c r="C100" s="5" t="s">
        <v>18</v>
      </c>
      <c r="D100" s="5" t="s">
        <v>19</v>
      </c>
      <c r="E100" s="5">
        <v>2019</v>
      </c>
      <c r="F100" s="5">
        <v>3</v>
      </c>
      <c r="G100" s="5">
        <v>33</v>
      </c>
      <c r="H100" s="5">
        <v>129</v>
      </c>
      <c r="I100" s="4" t="s">
        <v>218</v>
      </c>
      <c r="K100" s="4" t="s">
        <v>223</v>
      </c>
      <c r="L100" s="4" t="s">
        <v>232</v>
      </c>
      <c r="M100" s="4" t="s">
        <v>232</v>
      </c>
      <c r="N100" s="6">
        <v>540.20000000000005</v>
      </c>
      <c r="O100" s="6">
        <v>13.9</v>
      </c>
      <c r="P100" s="4">
        <v>3</v>
      </c>
      <c r="Q100" s="1">
        <v>44.38</v>
      </c>
      <c r="R100" s="1">
        <v>21.39</v>
      </c>
      <c r="S100" s="8">
        <f t="shared" si="3"/>
        <v>65.77000000000001</v>
      </c>
      <c r="T100" s="8">
        <f t="shared" si="4"/>
        <v>38.610600000000005</v>
      </c>
      <c r="U100" s="8">
        <f t="shared" si="5"/>
        <v>18.609300000000001</v>
      </c>
      <c r="V100" s="4" t="s">
        <v>232</v>
      </c>
      <c r="W100" s="4" t="s">
        <v>230</v>
      </c>
    </row>
    <row r="101" spans="1:23" s="4" customFormat="1" x14ac:dyDescent="0.25">
      <c r="A101" s="4" t="s">
        <v>47</v>
      </c>
      <c r="B101" s="5" t="s">
        <v>48</v>
      </c>
      <c r="C101" s="5" t="s">
        <v>18</v>
      </c>
      <c r="D101" s="5" t="s">
        <v>19</v>
      </c>
      <c r="E101" s="5">
        <v>2019</v>
      </c>
      <c r="F101" s="5">
        <v>1</v>
      </c>
      <c r="G101" s="5">
        <v>34</v>
      </c>
      <c r="H101" s="5">
        <v>30</v>
      </c>
      <c r="I101" s="4" t="s">
        <v>218</v>
      </c>
      <c r="J101" s="4">
        <v>30</v>
      </c>
      <c r="K101" s="4" t="s">
        <v>223</v>
      </c>
      <c r="L101" s="4">
        <v>1</v>
      </c>
      <c r="M101" s="4">
        <v>24</v>
      </c>
      <c r="N101" s="6">
        <v>1018.5</v>
      </c>
      <c r="O101" s="6">
        <v>15.1</v>
      </c>
      <c r="P101" s="4">
        <v>2.5</v>
      </c>
      <c r="Q101" s="1">
        <v>43.01</v>
      </c>
      <c r="R101" s="1">
        <v>21.83</v>
      </c>
      <c r="S101" s="8">
        <f t="shared" si="3"/>
        <v>64.84</v>
      </c>
      <c r="T101" s="8">
        <f t="shared" si="4"/>
        <v>37.418700000000001</v>
      </c>
      <c r="U101" s="8">
        <f t="shared" si="5"/>
        <v>18.992099999999997</v>
      </c>
      <c r="V101" s="4" t="s">
        <v>232</v>
      </c>
      <c r="W101" s="4" t="s">
        <v>232</v>
      </c>
    </row>
    <row r="102" spans="1:23" s="4" customFormat="1" x14ac:dyDescent="0.25">
      <c r="A102" s="4" t="s">
        <v>195</v>
      </c>
      <c r="B102" s="4" t="s">
        <v>48</v>
      </c>
      <c r="C102" s="4" t="s">
        <v>18</v>
      </c>
      <c r="D102" s="4" t="s">
        <v>19</v>
      </c>
      <c r="E102" s="4">
        <v>2019</v>
      </c>
      <c r="F102" s="4">
        <v>2</v>
      </c>
      <c r="G102" s="4">
        <v>34</v>
      </c>
      <c r="H102" s="4">
        <v>65</v>
      </c>
      <c r="I102" s="4" t="s">
        <v>218</v>
      </c>
      <c r="J102" s="4">
        <v>32</v>
      </c>
      <c r="K102" s="4" t="s">
        <v>223</v>
      </c>
      <c r="L102" s="4">
        <v>1.5</v>
      </c>
      <c r="M102" s="4">
        <v>22</v>
      </c>
      <c r="N102" s="6">
        <v>996.6</v>
      </c>
      <c r="O102" s="6">
        <v>15.7</v>
      </c>
      <c r="P102" s="4">
        <v>2.5</v>
      </c>
      <c r="Q102" s="1">
        <v>43.81</v>
      </c>
      <c r="R102" s="1">
        <v>21.72</v>
      </c>
      <c r="S102" s="8">
        <f t="shared" si="3"/>
        <v>65.53</v>
      </c>
      <c r="T102" s="8">
        <f t="shared" si="4"/>
        <v>38.114699999999999</v>
      </c>
      <c r="U102" s="8">
        <f t="shared" si="5"/>
        <v>18.8964</v>
      </c>
      <c r="V102" s="4" t="s">
        <v>232</v>
      </c>
      <c r="W102" s="4" t="s">
        <v>232</v>
      </c>
    </row>
    <row r="103" spans="1:23" s="4" customFormat="1" x14ac:dyDescent="0.25">
      <c r="A103" s="4" t="s">
        <v>175</v>
      </c>
      <c r="B103" s="4" t="s">
        <v>48</v>
      </c>
      <c r="C103" s="4" t="s">
        <v>18</v>
      </c>
      <c r="D103" s="4" t="s">
        <v>19</v>
      </c>
      <c r="E103" s="4">
        <v>2019</v>
      </c>
      <c r="F103" s="4">
        <v>3</v>
      </c>
      <c r="G103" s="4">
        <v>34</v>
      </c>
      <c r="H103" s="4">
        <v>117</v>
      </c>
      <c r="I103" s="4" t="s">
        <v>218</v>
      </c>
      <c r="K103" s="4" t="s">
        <v>223</v>
      </c>
      <c r="L103" s="4" t="s">
        <v>232</v>
      </c>
      <c r="M103" s="4" t="s">
        <v>232</v>
      </c>
      <c r="N103" s="6">
        <v>853.7</v>
      </c>
      <c r="O103" s="6">
        <v>15.5</v>
      </c>
      <c r="P103" s="4">
        <v>3.5</v>
      </c>
      <c r="Q103" s="1">
        <v>44.83</v>
      </c>
      <c r="R103" s="1">
        <v>20.92</v>
      </c>
      <c r="S103" s="8">
        <f t="shared" si="3"/>
        <v>65.75</v>
      </c>
      <c r="T103" s="8">
        <f t="shared" si="4"/>
        <v>39.002099999999999</v>
      </c>
      <c r="U103" s="8">
        <f t="shared" si="5"/>
        <v>18.200400000000002</v>
      </c>
      <c r="V103" s="4" t="s">
        <v>232</v>
      </c>
      <c r="W103" s="4" t="s">
        <v>230</v>
      </c>
    </row>
    <row r="104" spans="1:23" s="4" customFormat="1" x14ac:dyDescent="0.25">
      <c r="A104" s="4" t="s">
        <v>92</v>
      </c>
      <c r="B104" s="5" t="s">
        <v>93</v>
      </c>
      <c r="C104" s="5" t="s">
        <v>18</v>
      </c>
      <c r="D104" s="5" t="s">
        <v>19</v>
      </c>
      <c r="E104" s="5">
        <v>2019</v>
      </c>
      <c r="F104" s="5">
        <v>1</v>
      </c>
      <c r="G104" s="5">
        <v>35</v>
      </c>
      <c r="H104" s="5">
        <v>32</v>
      </c>
      <c r="I104" s="4" t="s">
        <v>218</v>
      </c>
      <c r="J104" s="4">
        <v>33</v>
      </c>
      <c r="K104" s="4" t="s">
        <v>223</v>
      </c>
      <c r="L104" s="4">
        <v>1.5</v>
      </c>
      <c r="M104" s="4">
        <v>31</v>
      </c>
      <c r="N104" s="6">
        <v>974.2</v>
      </c>
      <c r="O104" s="6">
        <v>15.6</v>
      </c>
      <c r="P104" s="4">
        <v>2.5</v>
      </c>
      <c r="Q104" s="1">
        <v>42.85</v>
      </c>
      <c r="R104" s="1">
        <v>22.59</v>
      </c>
      <c r="S104" s="8">
        <f t="shared" si="3"/>
        <v>65.44</v>
      </c>
      <c r="T104" s="8">
        <f t="shared" si="4"/>
        <v>37.279499999999999</v>
      </c>
      <c r="U104" s="8">
        <f t="shared" si="5"/>
        <v>19.653300000000002</v>
      </c>
      <c r="V104" s="4" t="s">
        <v>232</v>
      </c>
      <c r="W104" s="4" t="s">
        <v>232</v>
      </c>
    </row>
    <row r="105" spans="1:23" s="4" customFormat="1" x14ac:dyDescent="0.25">
      <c r="A105" s="4" t="s">
        <v>148</v>
      </c>
      <c r="B105" s="5" t="s">
        <v>93</v>
      </c>
      <c r="C105" s="5" t="s">
        <v>18</v>
      </c>
      <c r="D105" s="5" t="s">
        <v>19</v>
      </c>
      <c r="E105" s="5">
        <v>2019</v>
      </c>
      <c r="F105" s="5">
        <v>2</v>
      </c>
      <c r="G105" s="5">
        <v>35</v>
      </c>
      <c r="H105" s="5">
        <v>93</v>
      </c>
      <c r="I105" s="4" t="s">
        <v>218</v>
      </c>
      <c r="J105" s="4">
        <v>35</v>
      </c>
      <c r="K105" s="4" t="s">
        <v>223</v>
      </c>
      <c r="L105" s="4">
        <v>1.5</v>
      </c>
      <c r="M105" s="4">
        <v>32</v>
      </c>
      <c r="N105" s="6">
        <v>882.7</v>
      </c>
      <c r="O105" s="6">
        <v>14.5</v>
      </c>
      <c r="P105" s="4">
        <v>2</v>
      </c>
      <c r="Q105" s="1">
        <v>42.46</v>
      </c>
      <c r="R105" s="1">
        <v>22.36</v>
      </c>
      <c r="S105" s="8">
        <f t="shared" si="3"/>
        <v>64.819999999999993</v>
      </c>
      <c r="T105" s="8">
        <f t="shared" si="4"/>
        <v>36.940199999999997</v>
      </c>
      <c r="U105" s="8">
        <f t="shared" si="5"/>
        <v>19.453199999999999</v>
      </c>
      <c r="V105" s="4" t="s">
        <v>232</v>
      </c>
      <c r="W105" s="4" t="s">
        <v>232</v>
      </c>
    </row>
    <row r="106" spans="1:23" s="4" customFormat="1" x14ac:dyDescent="0.25">
      <c r="A106" s="4" t="s">
        <v>184</v>
      </c>
      <c r="B106" s="4" t="s">
        <v>93</v>
      </c>
      <c r="C106" s="4" t="s">
        <v>18</v>
      </c>
      <c r="D106" s="4" t="s">
        <v>19</v>
      </c>
      <c r="E106" s="4">
        <v>2019</v>
      </c>
      <c r="F106" s="4">
        <v>3</v>
      </c>
      <c r="G106" s="4">
        <v>35</v>
      </c>
      <c r="H106" s="4">
        <v>104</v>
      </c>
      <c r="I106" s="4" t="s">
        <v>218</v>
      </c>
      <c r="K106" s="4" t="s">
        <v>223</v>
      </c>
      <c r="L106" s="4" t="s">
        <v>232</v>
      </c>
      <c r="M106" s="4" t="s">
        <v>232</v>
      </c>
      <c r="N106" s="6">
        <v>952.2</v>
      </c>
      <c r="O106" s="6">
        <v>14.3</v>
      </c>
      <c r="P106" s="4">
        <v>2</v>
      </c>
      <c r="Q106" s="1">
        <v>42.22</v>
      </c>
      <c r="R106" s="1">
        <v>22.29</v>
      </c>
      <c r="S106" s="8">
        <f t="shared" si="3"/>
        <v>64.509999999999991</v>
      </c>
      <c r="T106" s="8">
        <f t="shared" si="4"/>
        <v>36.731400000000001</v>
      </c>
      <c r="U106" s="8">
        <f t="shared" si="5"/>
        <v>19.392299999999999</v>
      </c>
      <c r="V106" s="4" t="s">
        <v>232</v>
      </c>
      <c r="W106" s="4" t="s">
        <v>232</v>
      </c>
    </row>
    <row r="107" spans="1:23" s="4" customFormat="1" x14ac:dyDescent="0.25">
      <c r="A107" s="4" t="s">
        <v>167</v>
      </c>
      <c r="B107" s="4" t="s">
        <v>163</v>
      </c>
      <c r="C107" s="4" t="s">
        <v>18</v>
      </c>
      <c r="D107" s="4" t="s">
        <v>19</v>
      </c>
      <c r="E107" s="4">
        <v>2019</v>
      </c>
      <c r="F107" s="4">
        <v>1</v>
      </c>
      <c r="G107" s="4">
        <v>36</v>
      </c>
      <c r="H107" s="4">
        <v>34</v>
      </c>
      <c r="I107" s="4" t="s">
        <v>218</v>
      </c>
      <c r="J107" s="4">
        <v>30</v>
      </c>
      <c r="K107" s="4" t="s">
        <v>223</v>
      </c>
      <c r="L107" s="4">
        <v>1</v>
      </c>
      <c r="M107" s="4">
        <v>21</v>
      </c>
      <c r="N107" s="6">
        <v>1154.2</v>
      </c>
      <c r="O107" s="6">
        <v>15.8</v>
      </c>
      <c r="P107" s="4">
        <v>2</v>
      </c>
      <c r="Q107" s="1">
        <v>42.79</v>
      </c>
      <c r="R107" s="1">
        <v>21.96</v>
      </c>
      <c r="S107" s="8">
        <f t="shared" si="3"/>
        <v>64.75</v>
      </c>
      <c r="T107" s="8">
        <f t="shared" si="4"/>
        <v>37.2273</v>
      </c>
      <c r="U107" s="8">
        <f t="shared" si="5"/>
        <v>19.1052</v>
      </c>
      <c r="V107" s="4" t="s">
        <v>232</v>
      </c>
      <c r="W107" s="4" t="s">
        <v>232</v>
      </c>
    </row>
    <row r="108" spans="1:23" s="4" customFormat="1" x14ac:dyDescent="0.25">
      <c r="A108" s="4" t="s">
        <v>162</v>
      </c>
      <c r="B108" s="5" t="s">
        <v>163</v>
      </c>
      <c r="C108" s="5" t="s">
        <v>18</v>
      </c>
      <c r="D108" s="5" t="s">
        <v>19</v>
      </c>
      <c r="E108" s="5">
        <v>2019</v>
      </c>
      <c r="F108" s="5">
        <v>2</v>
      </c>
      <c r="G108" s="5">
        <v>36</v>
      </c>
      <c r="H108" s="5">
        <v>87</v>
      </c>
      <c r="I108" s="4" t="s">
        <v>218</v>
      </c>
      <c r="J108" s="4">
        <v>30</v>
      </c>
      <c r="K108" s="4" t="s">
        <v>223</v>
      </c>
      <c r="L108" s="4">
        <v>1</v>
      </c>
      <c r="M108" s="4">
        <v>22</v>
      </c>
      <c r="N108" s="6">
        <v>1082.9000000000001</v>
      </c>
      <c r="O108" s="6">
        <v>16.3</v>
      </c>
      <c r="P108" s="4">
        <v>2</v>
      </c>
      <c r="Q108" s="1">
        <v>42.48</v>
      </c>
      <c r="R108" s="1">
        <v>21.42</v>
      </c>
      <c r="S108" s="8">
        <f t="shared" si="3"/>
        <v>63.9</v>
      </c>
      <c r="T108" s="8">
        <f t="shared" si="4"/>
        <v>36.957599999999999</v>
      </c>
      <c r="U108" s="8">
        <f t="shared" si="5"/>
        <v>18.635400000000001</v>
      </c>
      <c r="V108" s="4" t="s">
        <v>232</v>
      </c>
      <c r="W108" s="4" t="s">
        <v>232</v>
      </c>
    </row>
    <row r="109" spans="1:23" s="4" customFormat="1" x14ac:dyDescent="0.25">
      <c r="A109" s="4" t="s">
        <v>199</v>
      </c>
      <c r="B109" s="4" t="s">
        <v>163</v>
      </c>
      <c r="C109" s="4" t="s">
        <v>18</v>
      </c>
      <c r="D109" s="4" t="s">
        <v>19</v>
      </c>
      <c r="E109" s="4">
        <v>2019</v>
      </c>
      <c r="F109" s="4">
        <v>3</v>
      </c>
      <c r="G109" s="4">
        <v>36</v>
      </c>
      <c r="H109" s="4">
        <v>116</v>
      </c>
      <c r="I109" s="4" t="s">
        <v>218</v>
      </c>
      <c r="K109" s="4" t="s">
        <v>223</v>
      </c>
      <c r="L109" s="4" t="s">
        <v>232</v>
      </c>
      <c r="M109" s="4" t="s">
        <v>232</v>
      </c>
      <c r="N109" s="6">
        <v>933.7</v>
      </c>
      <c r="O109" s="6">
        <v>14.3</v>
      </c>
      <c r="P109" s="4">
        <v>2.5</v>
      </c>
      <c r="Q109" s="1">
        <v>42.81</v>
      </c>
      <c r="R109" s="1">
        <v>21.19</v>
      </c>
      <c r="S109" s="8">
        <f t="shared" si="3"/>
        <v>64</v>
      </c>
      <c r="T109" s="8">
        <f t="shared" si="4"/>
        <v>37.244700000000002</v>
      </c>
      <c r="U109" s="8">
        <f t="shared" si="5"/>
        <v>18.435300000000002</v>
      </c>
      <c r="V109" s="4" t="s">
        <v>232</v>
      </c>
      <c r="W109" s="4" t="s">
        <v>232</v>
      </c>
    </row>
    <row r="110" spans="1:23" s="4" customFormat="1" x14ac:dyDescent="0.25">
      <c r="A110" s="4" t="s">
        <v>160</v>
      </c>
      <c r="B110" s="5" t="s">
        <v>140</v>
      </c>
      <c r="C110" s="5" t="s">
        <v>18</v>
      </c>
      <c r="D110" s="5" t="s">
        <v>19</v>
      </c>
      <c r="E110" s="5">
        <v>2019</v>
      </c>
      <c r="F110" s="5">
        <v>1</v>
      </c>
      <c r="G110" s="5">
        <v>37</v>
      </c>
      <c r="H110" s="5">
        <v>44</v>
      </c>
      <c r="I110" s="4" t="s">
        <v>218</v>
      </c>
      <c r="J110" s="4">
        <v>33</v>
      </c>
      <c r="K110" s="4" t="s">
        <v>223</v>
      </c>
      <c r="L110" s="4">
        <v>1.5</v>
      </c>
      <c r="M110" s="4">
        <v>26</v>
      </c>
      <c r="N110" s="6">
        <v>950.8</v>
      </c>
      <c r="O110" s="6">
        <v>13.5</v>
      </c>
      <c r="P110" s="4">
        <v>2.5</v>
      </c>
      <c r="Q110" s="1">
        <v>43.18</v>
      </c>
      <c r="R110" s="1">
        <v>21.8</v>
      </c>
      <c r="S110" s="8">
        <f t="shared" si="3"/>
        <v>64.98</v>
      </c>
      <c r="T110" s="8">
        <f t="shared" si="4"/>
        <v>37.566600000000001</v>
      </c>
      <c r="U110" s="8">
        <f t="shared" si="5"/>
        <v>18.966000000000001</v>
      </c>
      <c r="V110" s="4" t="s">
        <v>232</v>
      </c>
      <c r="W110" s="4" t="s">
        <v>232</v>
      </c>
    </row>
    <row r="111" spans="1:23" s="4" customFormat="1" x14ac:dyDescent="0.25">
      <c r="A111" s="4" t="s">
        <v>151</v>
      </c>
      <c r="B111" s="5" t="s">
        <v>140</v>
      </c>
      <c r="C111" s="5" t="s">
        <v>18</v>
      </c>
      <c r="D111" s="5" t="s">
        <v>19</v>
      </c>
      <c r="E111" s="5">
        <v>2019</v>
      </c>
      <c r="F111" s="5">
        <v>2</v>
      </c>
      <c r="G111" s="5">
        <v>37</v>
      </c>
      <c r="H111" s="5">
        <v>98</v>
      </c>
      <c r="I111" s="4" t="s">
        <v>218</v>
      </c>
      <c r="J111" s="4">
        <v>33</v>
      </c>
      <c r="K111" s="4" t="s">
        <v>223</v>
      </c>
      <c r="L111" s="4">
        <v>1.5</v>
      </c>
      <c r="M111" s="4">
        <v>27</v>
      </c>
      <c r="N111" s="6">
        <v>1010.1</v>
      </c>
      <c r="O111" s="6">
        <v>14.8</v>
      </c>
      <c r="P111" s="4">
        <v>2</v>
      </c>
      <c r="Q111" s="1">
        <v>43.59</v>
      </c>
      <c r="R111" s="1">
        <v>21.28</v>
      </c>
      <c r="S111" s="8">
        <f t="shared" si="3"/>
        <v>64.87</v>
      </c>
      <c r="T111" s="8">
        <f t="shared" si="4"/>
        <v>37.923300000000005</v>
      </c>
      <c r="U111" s="8">
        <f t="shared" si="5"/>
        <v>18.5136</v>
      </c>
      <c r="V111" s="4" t="s">
        <v>232</v>
      </c>
      <c r="W111" s="4" t="s">
        <v>232</v>
      </c>
    </row>
    <row r="112" spans="1:23" s="4" customFormat="1" x14ac:dyDescent="0.25">
      <c r="A112" s="4" t="s">
        <v>139</v>
      </c>
      <c r="B112" s="5" t="s">
        <v>140</v>
      </c>
      <c r="C112" s="5" t="s">
        <v>18</v>
      </c>
      <c r="D112" s="5" t="s">
        <v>19</v>
      </c>
      <c r="E112" s="5">
        <v>2019</v>
      </c>
      <c r="F112" s="5">
        <v>3</v>
      </c>
      <c r="G112" s="5">
        <v>37</v>
      </c>
      <c r="H112" s="5">
        <v>128</v>
      </c>
      <c r="I112" s="4" t="s">
        <v>218</v>
      </c>
      <c r="K112" s="4" t="s">
        <v>223</v>
      </c>
      <c r="L112" s="4" t="s">
        <v>232</v>
      </c>
      <c r="M112" s="4" t="s">
        <v>232</v>
      </c>
      <c r="N112" s="6">
        <v>1213.3</v>
      </c>
      <c r="O112" s="6">
        <v>14.7</v>
      </c>
      <c r="P112" s="4">
        <v>2.5</v>
      </c>
      <c r="Q112" s="1">
        <v>43.24</v>
      </c>
      <c r="R112" s="1">
        <v>21.2</v>
      </c>
      <c r="S112" s="8">
        <f t="shared" si="3"/>
        <v>64.44</v>
      </c>
      <c r="T112" s="8">
        <f t="shared" si="4"/>
        <v>37.6188</v>
      </c>
      <c r="U112" s="8">
        <f t="shared" si="5"/>
        <v>18.443999999999999</v>
      </c>
      <c r="V112" s="4" t="s">
        <v>232</v>
      </c>
      <c r="W112" s="4" t="s">
        <v>232</v>
      </c>
    </row>
    <row r="113" spans="1:23" s="4" customFormat="1" x14ac:dyDescent="0.25">
      <c r="A113" s="4" t="s">
        <v>41</v>
      </c>
      <c r="B113" s="5" t="s">
        <v>42</v>
      </c>
      <c r="C113" s="5" t="s">
        <v>18</v>
      </c>
      <c r="D113" s="5" t="s">
        <v>19</v>
      </c>
      <c r="E113" s="5">
        <v>2019</v>
      </c>
      <c r="F113" s="5">
        <v>1</v>
      </c>
      <c r="G113" s="5">
        <v>38</v>
      </c>
      <c r="H113" s="5">
        <v>21</v>
      </c>
      <c r="I113" s="4" t="s">
        <v>218</v>
      </c>
      <c r="J113" s="4">
        <v>32</v>
      </c>
      <c r="K113" s="4" t="s">
        <v>223</v>
      </c>
      <c r="L113" s="4">
        <v>1.5</v>
      </c>
      <c r="M113" s="4">
        <v>22</v>
      </c>
      <c r="N113" s="6">
        <v>1255.9000000000001</v>
      </c>
      <c r="O113" s="6">
        <v>15</v>
      </c>
      <c r="P113" s="4">
        <v>2</v>
      </c>
      <c r="Q113" s="1">
        <v>43.3</v>
      </c>
      <c r="R113" s="1">
        <v>22.42</v>
      </c>
      <c r="S113" s="8">
        <f t="shared" si="3"/>
        <v>65.72</v>
      </c>
      <c r="T113" s="8">
        <f t="shared" si="4"/>
        <v>37.670999999999999</v>
      </c>
      <c r="U113" s="8">
        <f t="shared" si="5"/>
        <v>19.505400000000002</v>
      </c>
      <c r="V113" s="4" t="s">
        <v>232</v>
      </c>
      <c r="W113" s="4" t="s">
        <v>232</v>
      </c>
    </row>
    <row r="114" spans="1:23" s="4" customFormat="1" x14ac:dyDescent="0.25">
      <c r="A114" s="4" t="s">
        <v>166</v>
      </c>
      <c r="B114" s="4" t="s">
        <v>42</v>
      </c>
      <c r="C114" s="4" t="s">
        <v>18</v>
      </c>
      <c r="D114" s="4" t="s">
        <v>19</v>
      </c>
      <c r="E114" s="4">
        <v>2019</v>
      </c>
      <c r="F114" s="4">
        <v>2</v>
      </c>
      <c r="G114" s="4">
        <v>38</v>
      </c>
      <c r="H114" s="4">
        <v>84</v>
      </c>
      <c r="I114" s="4" t="s">
        <v>218</v>
      </c>
      <c r="J114" s="4">
        <v>33</v>
      </c>
      <c r="K114" s="4" t="s">
        <v>223</v>
      </c>
      <c r="L114" s="4">
        <v>1.5</v>
      </c>
      <c r="M114" s="4">
        <v>28</v>
      </c>
      <c r="N114" s="6">
        <v>1103.0999999999999</v>
      </c>
      <c r="O114" s="6">
        <v>14.6</v>
      </c>
      <c r="P114" s="4">
        <v>2.5</v>
      </c>
      <c r="Q114" s="1">
        <v>43.47</v>
      </c>
      <c r="R114" s="1">
        <v>21.45</v>
      </c>
      <c r="S114" s="8">
        <f t="shared" si="3"/>
        <v>64.92</v>
      </c>
      <c r="T114" s="8">
        <f t="shared" si="4"/>
        <v>37.818899999999999</v>
      </c>
      <c r="U114" s="8">
        <f t="shared" si="5"/>
        <v>18.6615</v>
      </c>
      <c r="V114" s="4" t="s">
        <v>232</v>
      </c>
      <c r="W114" s="4" t="s">
        <v>232</v>
      </c>
    </row>
    <row r="115" spans="1:23" s="4" customFormat="1" x14ac:dyDescent="0.25">
      <c r="A115" s="4" t="s">
        <v>161</v>
      </c>
      <c r="B115" s="5" t="s">
        <v>42</v>
      </c>
      <c r="C115" s="5" t="s">
        <v>18</v>
      </c>
      <c r="D115" s="5" t="s">
        <v>19</v>
      </c>
      <c r="E115" s="5">
        <v>2019</v>
      </c>
      <c r="F115" s="5">
        <v>3</v>
      </c>
      <c r="G115" s="5">
        <v>38</v>
      </c>
      <c r="H115" s="5">
        <v>137</v>
      </c>
      <c r="I115" s="4" t="s">
        <v>218</v>
      </c>
      <c r="K115" s="4" t="s">
        <v>223</v>
      </c>
      <c r="L115" s="4" t="s">
        <v>232</v>
      </c>
      <c r="M115" s="4" t="s">
        <v>232</v>
      </c>
      <c r="N115" s="6">
        <v>906.2</v>
      </c>
      <c r="O115" s="6">
        <v>14.3</v>
      </c>
      <c r="P115" s="4">
        <v>3</v>
      </c>
      <c r="Q115" s="1">
        <v>43.98</v>
      </c>
      <c r="R115" s="1">
        <v>21.57</v>
      </c>
      <c r="S115" s="8">
        <f t="shared" si="3"/>
        <v>65.55</v>
      </c>
      <c r="T115" s="8">
        <f t="shared" si="4"/>
        <v>38.262599999999999</v>
      </c>
      <c r="U115" s="8">
        <f t="shared" si="5"/>
        <v>18.765899999999998</v>
      </c>
      <c r="V115" s="4" t="s">
        <v>232</v>
      </c>
      <c r="W115" s="4" t="s">
        <v>232</v>
      </c>
    </row>
    <row r="116" spans="1:23" s="4" customFormat="1" x14ac:dyDescent="0.25">
      <c r="A116" s="4" t="s">
        <v>203</v>
      </c>
      <c r="B116" s="4" t="s">
        <v>105</v>
      </c>
      <c r="C116" s="4" t="s">
        <v>18</v>
      </c>
      <c r="D116" s="4" t="s">
        <v>19</v>
      </c>
      <c r="E116" s="4">
        <v>2019</v>
      </c>
      <c r="F116" s="4">
        <v>1</v>
      </c>
      <c r="G116" s="4">
        <v>39</v>
      </c>
      <c r="H116" s="4">
        <v>26</v>
      </c>
      <c r="I116" s="4" t="s">
        <v>218</v>
      </c>
      <c r="J116" s="4">
        <v>33</v>
      </c>
      <c r="K116" s="4" t="s">
        <v>223</v>
      </c>
      <c r="L116" s="4">
        <v>2</v>
      </c>
      <c r="M116" s="4">
        <v>24</v>
      </c>
      <c r="N116" s="6">
        <v>1335.6</v>
      </c>
      <c r="O116" s="6">
        <v>17</v>
      </c>
      <c r="P116" s="4">
        <v>2.5</v>
      </c>
      <c r="Q116" s="1">
        <v>41.94</v>
      </c>
      <c r="R116" s="1">
        <v>22.29</v>
      </c>
      <c r="S116" s="8">
        <f t="shared" si="3"/>
        <v>64.22999999999999</v>
      </c>
      <c r="T116" s="8">
        <f t="shared" si="4"/>
        <v>36.4878</v>
      </c>
      <c r="U116" s="8">
        <f t="shared" si="5"/>
        <v>19.392299999999999</v>
      </c>
      <c r="V116" s="4" t="s">
        <v>232</v>
      </c>
      <c r="W116" s="4" t="s">
        <v>232</v>
      </c>
    </row>
    <row r="117" spans="1:23" s="4" customFormat="1" x14ac:dyDescent="0.25">
      <c r="A117" s="4" t="s">
        <v>179</v>
      </c>
      <c r="B117" s="4" t="s">
        <v>105</v>
      </c>
      <c r="C117" s="4" t="s">
        <v>18</v>
      </c>
      <c r="D117" s="4" t="s">
        <v>19</v>
      </c>
      <c r="E117" s="4">
        <v>2019</v>
      </c>
      <c r="F117" s="4">
        <v>2</v>
      </c>
      <c r="G117" s="4">
        <v>39</v>
      </c>
      <c r="H117" s="4">
        <v>64</v>
      </c>
      <c r="I117" s="4" t="s">
        <v>218</v>
      </c>
      <c r="J117" s="4">
        <v>32</v>
      </c>
      <c r="K117" s="4" t="s">
        <v>223</v>
      </c>
      <c r="L117" s="4">
        <v>1.5</v>
      </c>
      <c r="M117" s="4">
        <v>21</v>
      </c>
      <c r="N117" s="6">
        <v>1150.8</v>
      </c>
      <c r="O117" s="6">
        <v>18</v>
      </c>
      <c r="P117" s="4">
        <v>2</v>
      </c>
      <c r="Q117" s="1">
        <v>41.82</v>
      </c>
      <c r="R117" s="1">
        <v>22.64</v>
      </c>
      <c r="S117" s="8">
        <f t="shared" si="3"/>
        <v>64.460000000000008</v>
      </c>
      <c r="T117" s="8">
        <f t="shared" si="4"/>
        <v>36.383400000000002</v>
      </c>
      <c r="U117" s="8">
        <f t="shared" si="5"/>
        <v>19.6968</v>
      </c>
      <c r="V117" s="4" t="s">
        <v>232</v>
      </c>
      <c r="W117" s="4" t="s">
        <v>232</v>
      </c>
    </row>
    <row r="118" spans="1:23" s="4" customFormat="1" x14ac:dyDescent="0.25">
      <c r="A118" s="4" t="s">
        <v>104</v>
      </c>
      <c r="B118" s="5" t="s">
        <v>105</v>
      </c>
      <c r="C118" s="5" t="s">
        <v>18</v>
      </c>
      <c r="D118" s="5" t="s">
        <v>19</v>
      </c>
      <c r="E118" s="5">
        <v>2019</v>
      </c>
      <c r="F118" s="5">
        <v>3</v>
      </c>
      <c r="G118" s="5">
        <v>39</v>
      </c>
      <c r="H118" s="5">
        <v>112</v>
      </c>
      <c r="I118" s="4" t="s">
        <v>218</v>
      </c>
      <c r="K118" s="4" t="s">
        <v>223</v>
      </c>
      <c r="L118" s="4" t="s">
        <v>232</v>
      </c>
      <c r="M118" s="4" t="s">
        <v>232</v>
      </c>
      <c r="N118" s="6">
        <v>867.7</v>
      </c>
      <c r="O118" s="6">
        <v>16</v>
      </c>
      <c r="P118" s="4">
        <v>3</v>
      </c>
      <c r="Q118" s="1">
        <v>43.93</v>
      </c>
      <c r="R118" s="1">
        <v>21.33</v>
      </c>
      <c r="S118" s="8">
        <f t="shared" si="3"/>
        <v>65.259999999999991</v>
      </c>
      <c r="T118" s="8">
        <f t="shared" si="4"/>
        <v>38.219099999999997</v>
      </c>
      <c r="U118" s="8">
        <f t="shared" si="5"/>
        <v>18.557099999999998</v>
      </c>
      <c r="V118" s="4" t="s">
        <v>232</v>
      </c>
      <c r="W118" s="4" t="s">
        <v>232</v>
      </c>
    </row>
    <row r="119" spans="1:23" s="4" customFormat="1" x14ac:dyDescent="0.25">
      <c r="A119" s="4" t="s">
        <v>131</v>
      </c>
      <c r="B119" s="5" t="s">
        <v>33</v>
      </c>
      <c r="C119" s="5" t="s">
        <v>18</v>
      </c>
      <c r="D119" s="5" t="s">
        <v>19</v>
      </c>
      <c r="E119" s="5">
        <v>2019</v>
      </c>
      <c r="F119" s="5">
        <v>1</v>
      </c>
      <c r="G119" s="5">
        <v>40</v>
      </c>
      <c r="H119" s="5">
        <v>23</v>
      </c>
      <c r="I119" s="4" t="s">
        <v>218</v>
      </c>
      <c r="J119" s="4">
        <v>33</v>
      </c>
      <c r="K119" s="4" t="s">
        <v>223</v>
      </c>
      <c r="L119" s="4">
        <v>1.5</v>
      </c>
      <c r="M119" s="4">
        <v>35</v>
      </c>
      <c r="N119" s="6">
        <v>1029.4000000000001</v>
      </c>
      <c r="O119" s="6">
        <v>17.5</v>
      </c>
      <c r="P119" s="4">
        <v>1.5</v>
      </c>
      <c r="Q119" s="1">
        <v>43.13</v>
      </c>
      <c r="R119" s="1">
        <v>23.46</v>
      </c>
      <c r="S119" s="8">
        <f t="shared" si="3"/>
        <v>66.59</v>
      </c>
      <c r="T119" s="8">
        <f t="shared" si="4"/>
        <v>37.523099999999999</v>
      </c>
      <c r="U119" s="8">
        <f t="shared" si="5"/>
        <v>20.4102</v>
      </c>
      <c r="V119" s="4" t="s">
        <v>232</v>
      </c>
      <c r="W119" s="4" t="s">
        <v>232</v>
      </c>
    </row>
    <row r="120" spans="1:23" s="4" customFormat="1" x14ac:dyDescent="0.25">
      <c r="A120" s="4" t="s">
        <v>32</v>
      </c>
      <c r="B120" s="5" t="s">
        <v>33</v>
      </c>
      <c r="C120" s="5" t="s">
        <v>18</v>
      </c>
      <c r="D120" s="5" t="s">
        <v>19</v>
      </c>
      <c r="E120" s="5">
        <v>2019</v>
      </c>
      <c r="F120" s="5">
        <v>2</v>
      </c>
      <c r="G120" s="5">
        <v>40</v>
      </c>
      <c r="H120" s="5">
        <v>61</v>
      </c>
      <c r="I120" s="4" t="s">
        <v>218</v>
      </c>
      <c r="J120" s="4">
        <v>34</v>
      </c>
      <c r="K120" s="4" t="s">
        <v>223</v>
      </c>
      <c r="L120" s="4">
        <v>1.5</v>
      </c>
      <c r="M120" s="4">
        <v>34</v>
      </c>
      <c r="N120" s="6">
        <v>1090.2</v>
      </c>
      <c r="O120" s="6">
        <v>18.100000000000001</v>
      </c>
      <c r="P120" s="4">
        <v>2</v>
      </c>
      <c r="Q120" s="1">
        <v>42.21</v>
      </c>
      <c r="R120" s="1">
        <v>23.16</v>
      </c>
      <c r="S120" s="8">
        <f t="shared" si="3"/>
        <v>65.37</v>
      </c>
      <c r="T120" s="8">
        <f t="shared" si="4"/>
        <v>36.722700000000003</v>
      </c>
      <c r="U120" s="8">
        <f t="shared" si="5"/>
        <v>20.1492</v>
      </c>
      <c r="V120" s="4" t="s">
        <v>232</v>
      </c>
      <c r="W120" s="4" t="s">
        <v>232</v>
      </c>
    </row>
    <row r="121" spans="1:23" s="4" customFormat="1" x14ac:dyDescent="0.25">
      <c r="A121" s="4" t="s">
        <v>127</v>
      </c>
      <c r="B121" s="5" t="s">
        <v>33</v>
      </c>
      <c r="C121" s="5" t="s">
        <v>18</v>
      </c>
      <c r="D121" s="5" t="s">
        <v>19</v>
      </c>
      <c r="E121" s="5">
        <v>2019</v>
      </c>
      <c r="F121" s="5">
        <v>3</v>
      </c>
      <c r="G121" s="5">
        <v>40</v>
      </c>
      <c r="H121" s="5">
        <v>113</v>
      </c>
      <c r="I121" s="4" t="s">
        <v>218</v>
      </c>
      <c r="K121" s="4" t="s">
        <v>223</v>
      </c>
      <c r="L121" s="4" t="s">
        <v>232</v>
      </c>
      <c r="M121" s="4" t="s">
        <v>232</v>
      </c>
      <c r="N121" s="6">
        <v>1277.7</v>
      </c>
      <c r="O121" s="6">
        <v>17</v>
      </c>
      <c r="P121" s="4">
        <v>2</v>
      </c>
      <c r="Q121" s="1">
        <v>43.18</v>
      </c>
      <c r="R121" s="1">
        <v>23.05</v>
      </c>
      <c r="S121" s="8">
        <f t="shared" si="3"/>
        <v>66.23</v>
      </c>
      <c r="T121" s="8">
        <f t="shared" si="4"/>
        <v>37.566600000000001</v>
      </c>
      <c r="U121" s="8">
        <f t="shared" si="5"/>
        <v>20.0535</v>
      </c>
      <c r="V121" s="4" t="s">
        <v>232</v>
      </c>
      <c r="W121" s="4" t="s">
        <v>232</v>
      </c>
    </row>
    <row r="122" spans="1:23" s="4" customFormat="1" x14ac:dyDescent="0.25">
      <c r="A122" s="4" t="s">
        <v>83</v>
      </c>
      <c r="B122" s="5" t="s">
        <v>84</v>
      </c>
      <c r="C122" s="5" t="s">
        <v>18</v>
      </c>
      <c r="D122" s="5" t="s">
        <v>19</v>
      </c>
      <c r="E122" s="5">
        <v>2019</v>
      </c>
      <c r="F122" s="5">
        <v>1</v>
      </c>
      <c r="G122" s="5">
        <v>41</v>
      </c>
      <c r="H122" s="5">
        <v>42</v>
      </c>
      <c r="I122" s="4" t="s">
        <v>218</v>
      </c>
      <c r="J122" s="4">
        <v>31</v>
      </c>
      <c r="K122" s="4" t="s">
        <v>223</v>
      </c>
      <c r="L122" s="4">
        <v>1.5</v>
      </c>
      <c r="M122" s="4">
        <v>26</v>
      </c>
      <c r="N122" s="6">
        <v>1320.4</v>
      </c>
      <c r="O122" s="6">
        <v>16.399999999999999</v>
      </c>
      <c r="P122" s="4">
        <v>2</v>
      </c>
      <c r="Q122" s="1">
        <v>43.85</v>
      </c>
      <c r="R122" s="1">
        <v>22.42</v>
      </c>
      <c r="S122" s="8">
        <f t="shared" si="3"/>
        <v>66.27000000000001</v>
      </c>
      <c r="T122" s="8">
        <f t="shared" si="4"/>
        <v>38.149500000000003</v>
      </c>
      <c r="U122" s="8">
        <f t="shared" si="5"/>
        <v>19.505400000000002</v>
      </c>
      <c r="V122" s="4" t="s">
        <v>232</v>
      </c>
      <c r="W122" s="4" t="s">
        <v>232</v>
      </c>
    </row>
    <row r="123" spans="1:23" s="4" customFormat="1" x14ac:dyDescent="0.25">
      <c r="A123" s="4" t="s">
        <v>170</v>
      </c>
      <c r="B123" s="4" t="s">
        <v>84</v>
      </c>
      <c r="C123" s="4" t="s">
        <v>18</v>
      </c>
      <c r="D123" s="4" t="s">
        <v>19</v>
      </c>
      <c r="E123" s="4">
        <v>2019</v>
      </c>
      <c r="F123" s="4">
        <v>2</v>
      </c>
      <c r="G123" s="4">
        <v>41</v>
      </c>
      <c r="H123" s="4">
        <v>77</v>
      </c>
      <c r="I123" s="4" t="s">
        <v>218</v>
      </c>
      <c r="J123" s="4">
        <v>32</v>
      </c>
      <c r="K123" s="4" t="s">
        <v>223</v>
      </c>
      <c r="L123" s="4">
        <v>1.5</v>
      </c>
      <c r="M123" s="4">
        <v>27</v>
      </c>
      <c r="N123" s="6">
        <v>1389.1</v>
      </c>
      <c r="O123" s="6">
        <v>16</v>
      </c>
      <c r="P123" s="4">
        <v>1.5</v>
      </c>
      <c r="Q123" s="1">
        <v>43.33</v>
      </c>
      <c r="R123" s="1">
        <v>21.79</v>
      </c>
      <c r="S123" s="8">
        <f t="shared" si="3"/>
        <v>65.12</v>
      </c>
      <c r="T123" s="8">
        <f t="shared" si="4"/>
        <v>37.697099999999999</v>
      </c>
      <c r="U123" s="8">
        <f t="shared" si="5"/>
        <v>18.9573</v>
      </c>
      <c r="V123" s="4" t="s">
        <v>232</v>
      </c>
      <c r="W123" s="4" t="s">
        <v>232</v>
      </c>
    </row>
    <row r="124" spans="1:23" s="4" customFormat="1" x14ac:dyDescent="0.25">
      <c r="A124" s="4" t="s">
        <v>114</v>
      </c>
      <c r="B124" s="5" t="s">
        <v>84</v>
      </c>
      <c r="C124" s="5" t="s">
        <v>18</v>
      </c>
      <c r="D124" s="5" t="s">
        <v>19</v>
      </c>
      <c r="E124" s="5">
        <v>2019</v>
      </c>
      <c r="F124" s="5">
        <v>3</v>
      </c>
      <c r="G124" s="5">
        <v>41</v>
      </c>
      <c r="H124" s="5">
        <v>102</v>
      </c>
      <c r="I124" s="4" t="s">
        <v>218</v>
      </c>
      <c r="K124" s="4" t="s">
        <v>223</v>
      </c>
      <c r="L124" s="4" t="s">
        <v>232</v>
      </c>
      <c r="M124" s="4" t="s">
        <v>232</v>
      </c>
      <c r="N124" s="6">
        <v>1395.7</v>
      </c>
      <c r="O124" s="6">
        <v>16.399999999999999</v>
      </c>
      <c r="P124" s="4">
        <v>1.5</v>
      </c>
      <c r="Q124" s="1">
        <v>42.34</v>
      </c>
      <c r="R124" s="1">
        <v>21.94</v>
      </c>
      <c r="S124" s="8">
        <f t="shared" si="3"/>
        <v>64.28</v>
      </c>
      <c r="T124" s="8">
        <f t="shared" si="4"/>
        <v>36.835800000000006</v>
      </c>
      <c r="U124" s="8">
        <f t="shared" si="5"/>
        <v>19.087800000000001</v>
      </c>
      <c r="V124" s="4" t="s">
        <v>232</v>
      </c>
      <c r="W124" s="4" t="s">
        <v>232</v>
      </c>
    </row>
    <row r="125" spans="1:23" s="4" customFormat="1" x14ac:dyDescent="0.25">
      <c r="A125" s="4" t="s">
        <v>183</v>
      </c>
      <c r="B125" s="4" t="s">
        <v>50</v>
      </c>
      <c r="C125" s="4" t="s">
        <v>18</v>
      </c>
      <c r="D125" s="4" t="s">
        <v>19</v>
      </c>
      <c r="E125" s="4">
        <v>2019</v>
      </c>
      <c r="F125" s="4">
        <v>1</v>
      </c>
      <c r="G125" s="4">
        <v>42</v>
      </c>
      <c r="H125" s="4">
        <v>7</v>
      </c>
      <c r="I125" s="4" t="s">
        <v>219</v>
      </c>
      <c r="J125" s="4">
        <v>30</v>
      </c>
      <c r="K125" s="4" t="s">
        <v>223</v>
      </c>
      <c r="L125" s="4">
        <v>1</v>
      </c>
      <c r="M125" s="4">
        <v>20</v>
      </c>
      <c r="N125" s="6">
        <v>1213.2</v>
      </c>
      <c r="O125" s="6">
        <v>15.1</v>
      </c>
      <c r="P125" s="4">
        <v>2</v>
      </c>
      <c r="Q125" s="1">
        <v>41.7</v>
      </c>
      <c r="R125" s="1">
        <v>22.88</v>
      </c>
      <c r="S125" s="8">
        <f t="shared" si="3"/>
        <v>64.58</v>
      </c>
      <c r="T125" s="8">
        <f t="shared" si="4"/>
        <v>36.279000000000003</v>
      </c>
      <c r="U125" s="8">
        <f t="shared" si="5"/>
        <v>19.9056</v>
      </c>
      <c r="V125" s="4" t="s">
        <v>232</v>
      </c>
      <c r="W125" s="4" t="s">
        <v>232</v>
      </c>
    </row>
    <row r="126" spans="1:23" s="4" customFormat="1" x14ac:dyDescent="0.25">
      <c r="A126" s="4" t="s">
        <v>49</v>
      </c>
      <c r="B126" s="5" t="s">
        <v>50</v>
      </c>
      <c r="C126" s="5" t="s">
        <v>18</v>
      </c>
      <c r="D126" s="5" t="s">
        <v>19</v>
      </c>
      <c r="E126" s="5">
        <v>2019</v>
      </c>
      <c r="F126" s="5">
        <v>2</v>
      </c>
      <c r="G126" s="5">
        <v>42</v>
      </c>
      <c r="H126" s="5">
        <v>80</v>
      </c>
      <c r="I126" s="4" t="s">
        <v>219</v>
      </c>
      <c r="J126" s="4">
        <v>30</v>
      </c>
      <c r="K126" s="4" t="s">
        <v>223</v>
      </c>
      <c r="L126" s="4">
        <v>1</v>
      </c>
      <c r="M126" s="4">
        <v>25</v>
      </c>
      <c r="N126" s="6">
        <v>999.1</v>
      </c>
      <c r="O126" s="6">
        <v>14.8</v>
      </c>
      <c r="P126" s="4">
        <v>1.5</v>
      </c>
      <c r="Q126" s="1">
        <v>42.43</v>
      </c>
      <c r="R126" s="1">
        <v>22.69</v>
      </c>
      <c r="S126" s="8">
        <f t="shared" si="3"/>
        <v>65.12</v>
      </c>
      <c r="T126" s="8">
        <f t="shared" si="4"/>
        <v>36.914099999999998</v>
      </c>
      <c r="U126" s="8">
        <f t="shared" si="5"/>
        <v>19.740300000000001</v>
      </c>
      <c r="V126" s="4" t="s">
        <v>232</v>
      </c>
      <c r="W126" s="4" t="s">
        <v>232</v>
      </c>
    </row>
    <row r="127" spans="1:23" s="4" customFormat="1" x14ac:dyDescent="0.25">
      <c r="A127" s="4" t="s">
        <v>172</v>
      </c>
      <c r="B127" s="4" t="s">
        <v>50</v>
      </c>
      <c r="C127" s="4" t="s">
        <v>18</v>
      </c>
      <c r="D127" s="4" t="s">
        <v>19</v>
      </c>
      <c r="E127" s="4">
        <v>2019</v>
      </c>
      <c r="F127" s="4">
        <v>3</v>
      </c>
      <c r="G127" s="4">
        <v>42</v>
      </c>
      <c r="H127" s="4">
        <v>124</v>
      </c>
      <c r="I127" s="4" t="s">
        <v>219</v>
      </c>
      <c r="K127" s="4" t="s">
        <v>223</v>
      </c>
      <c r="L127" s="4" t="s">
        <v>232</v>
      </c>
      <c r="M127" s="4" t="s">
        <v>232</v>
      </c>
      <c r="N127" s="6">
        <v>1069.7</v>
      </c>
      <c r="O127" s="6">
        <v>15.2</v>
      </c>
      <c r="P127" s="4">
        <v>2</v>
      </c>
      <c r="Q127" s="1">
        <v>42.94</v>
      </c>
      <c r="R127" s="1">
        <v>22.16</v>
      </c>
      <c r="S127" s="8">
        <f t="shared" si="3"/>
        <v>65.099999999999994</v>
      </c>
      <c r="T127" s="8">
        <f t="shared" si="4"/>
        <v>37.357799999999997</v>
      </c>
      <c r="U127" s="8">
        <f t="shared" si="5"/>
        <v>19.279199999999999</v>
      </c>
      <c r="V127" s="4" t="s">
        <v>232</v>
      </c>
      <c r="W127" s="4" t="s">
        <v>232</v>
      </c>
    </row>
    <row r="128" spans="1:23" s="4" customFormat="1" x14ac:dyDescent="0.25">
      <c r="A128" s="4" t="s">
        <v>177</v>
      </c>
      <c r="B128" s="4" t="s">
        <v>55</v>
      </c>
      <c r="C128" s="4" t="s">
        <v>18</v>
      </c>
      <c r="D128" s="4" t="s">
        <v>19</v>
      </c>
      <c r="E128" s="4">
        <v>2019</v>
      </c>
      <c r="F128" s="4">
        <v>1</v>
      </c>
      <c r="G128" s="4">
        <v>43</v>
      </c>
      <c r="H128" s="4">
        <v>17</v>
      </c>
      <c r="I128" s="4" t="s">
        <v>220</v>
      </c>
      <c r="J128" s="4">
        <v>29</v>
      </c>
      <c r="K128" s="4" t="s">
        <v>223</v>
      </c>
      <c r="L128" s="4">
        <v>1.5</v>
      </c>
      <c r="M128" s="4">
        <v>24</v>
      </c>
      <c r="N128" s="6">
        <v>1202.7</v>
      </c>
      <c r="O128" s="6">
        <v>15</v>
      </c>
      <c r="P128" s="4">
        <v>2.5</v>
      </c>
      <c r="Q128" s="1">
        <v>44.9</v>
      </c>
      <c r="R128" s="1">
        <v>22.73</v>
      </c>
      <c r="S128" s="8">
        <f t="shared" si="3"/>
        <v>67.63</v>
      </c>
      <c r="T128" s="8">
        <f t="shared" si="4"/>
        <v>39.062999999999995</v>
      </c>
      <c r="U128" s="8">
        <f t="shared" si="5"/>
        <v>19.775100000000002</v>
      </c>
      <c r="V128" s="4" t="s">
        <v>232</v>
      </c>
      <c r="W128" s="4" t="s">
        <v>232</v>
      </c>
    </row>
    <row r="129" spans="1:23" s="4" customFormat="1" x14ac:dyDescent="0.25">
      <c r="A129" s="4" t="s">
        <v>54</v>
      </c>
      <c r="B129" s="5" t="s">
        <v>55</v>
      </c>
      <c r="C129" s="5" t="s">
        <v>18</v>
      </c>
      <c r="D129" s="5" t="s">
        <v>19</v>
      </c>
      <c r="E129" s="5">
        <v>2019</v>
      </c>
      <c r="F129" s="5">
        <v>2</v>
      </c>
      <c r="G129" s="5">
        <v>43</v>
      </c>
      <c r="H129" s="5">
        <v>81</v>
      </c>
      <c r="I129" s="4" t="s">
        <v>220</v>
      </c>
      <c r="J129" s="4">
        <v>29</v>
      </c>
      <c r="K129" s="4" t="s">
        <v>223</v>
      </c>
      <c r="L129" s="4">
        <v>1</v>
      </c>
      <c r="M129" s="4">
        <v>26</v>
      </c>
      <c r="N129" s="6">
        <v>1118.9000000000001</v>
      </c>
      <c r="O129" s="6">
        <v>15.4</v>
      </c>
      <c r="P129" s="4">
        <v>1.5</v>
      </c>
      <c r="Q129" s="1">
        <v>43.71</v>
      </c>
      <c r="R129" s="1">
        <v>23.23</v>
      </c>
      <c r="S129" s="8">
        <f t="shared" si="3"/>
        <v>66.94</v>
      </c>
      <c r="T129" s="8">
        <f t="shared" si="4"/>
        <v>38.027700000000003</v>
      </c>
      <c r="U129" s="8">
        <f t="shared" si="5"/>
        <v>20.210100000000001</v>
      </c>
      <c r="V129" s="4" t="s">
        <v>232</v>
      </c>
      <c r="W129" s="4" t="s">
        <v>232</v>
      </c>
    </row>
    <row r="130" spans="1:23" s="4" customFormat="1" x14ac:dyDescent="0.25">
      <c r="A130" s="4" t="s">
        <v>158</v>
      </c>
      <c r="B130" s="5" t="s">
        <v>55</v>
      </c>
      <c r="C130" s="5" t="s">
        <v>18</v>
      </c>
      <c r="D130" s="5" t="s">
        <v>19</v>
      </c>
      <c r="E130" s="5">
        <v>2019</v>
      </c>
      <c r="F130" s="5">
        <v>3</v>
      </c>
      <c r="G130" s="5">
        <v>43</v>
      </c>
      <c r="H130" s="5">
        <v>144</v>
      </c>
      <c r="I130" s="4" t="s">
        <v>220</v>
      </c>
      <c r="K130" s="4" t="s">
        <v>223</v>
      </c>
      <c r="L130" s="4" t="s">
        <v>232</v>
      </c>
      <c r="M130" s="4" t="s">
        <v>232</v>
      </c>
      <c r="N130" s="6">
        <v>637.70000000000005</v>
      </c>
      <c r="O130" s="6">
        <v>13.6</v>
      </c>
      <c r="P130" s="4">
        <v>2.5</v>
      </c>
      <c r="Q130" s="1">
        <v>43.82</v>
      </c>
      <c r="R130" s="1">
        <v>22.6</v>
      </c>
      <c r="S130" s="8">
        <f t="shared" si="3"/>
        <v>66.42</v>
      </c>
      <c r="T130" s="8">
        <f t="shared" si="4"/>
        <v>38.123399999999997</v>
      </c>
      <c r="U130" s="8">
        <f t="shared" si="5"/>
        <v>19.662000000000003</v>
      </c>
      <c r="V130" s="4" t="s">
        <v>232</v>
      </c>
      <c r="W130" s="4" t="s">
        <v>232</v>
      </c>
    </row>
    <row r="131" spans="1:23" s="4" customFormat="1" x14ac:dyDescent="0.25">
      <c r="A131" s="4" t="s">
        <v>121</v>
      </c>
      <c r="B131" s="5" t="s">
        <v>110</v>
      </c>
      <c r="C131" s="5" t="s">
        <v>18</v>
      </c>
      <c r="D131" s="5" t="s">
        <v>19</v>
      </c>
      <c r="E131" s="5">
        <v>2019</v>
      </c>
      <c r="F131" s="5">
        <v>1</v>
      </c>
      <c r="G131" s="5">
        <v>44</v>
      </c>
      <c r="H131" s="5">
        <v>8</v>
      </c>
      <c r="I131" s="4" t="s">
        <v>219</v>
      </c>
      <c r="J131" s="4">
        <v>31</v>
      </c>
      <c r="K131" s="4" t="s">
        <v>224</v>
      </c>
      <c r="L131" s="4">
        <v>2</v>
      </c>
      <c r="M131" s="4">
        <v>50</v>
      </c>
      <c r="N131" s="6">
        <v>901.3</v>
      </c>
      <c r="O131" s="6">
        <v>17</v>
      </c>
      <c r="P131" s="4">
        <v>1.5</v>
      </c>
      <c r="Q131" s="1">
        <v>44.81</v>
      </c>
      <c r="R131" s="1">
        <v>22.07</v>
      </c>
      <c r="S131" s="8">
        <f t="shared" ref="S131:S151" si="6">Q131+R131</f>
        <v>66.88</v>
      </c>
      <c r="T131" s="8">
        <f t="shared" ref="T131:T151" si="7">Q131*0.87</f>
        <v>38.984700000000004</v>
      </c>
      <c r="U131" s="8">
        <f t="shared" ref="U131:U151" si="8">R131*0.87</f>
        <v>19.200900000000001</v>
      </c>
      <c r="V131" s="4" t="s">
        <v>232</v>
      </c>
      <c r="W131" s="4" t="s">
        <v>232</v>
      </c>
    </row>
    <row r="132" spans="1:23" s="4" customFormat="1" x14ac:dyDescent="0.25">
      <c r="A132" s="4" t="s">
        <v>198</v>
      </c>
      <c r="B132" s="4" t="s">
        <v>110</v>
      </c>
      <c r="C132" s="4" t="s">
        <v>18</v>
      </c>
      <c r="D132" s="4" t="s">
        <v>19</v>
      </c>
      <c r="E132" s="4">
        <v>2019</v>
      </c>
      <c r="F132" s="4">
        <v>2</v>
      </c>
      <c r="G132" s="4">
        <v>44</v>
      </c>
      <c r="H132" s="4">
        <v>66</v>
      </c>
      <c r="I132" s="4" t="s">
        <v>219</v>
      </c>
      <c r="J132" s="4">
        <v>30</v>
      </c>
      <c r="K132" s="4" t="s">
        <v>224</v>
      </c>
      <c r="L132" s="4">
        <v>2.5</v>
      </c>
      <c r="M132" s="4">
        <v>50</v>
      </c>
      <c r="N132" s="6">
        <v>1111</v>
      </c>
      <c r="O132" s="6">
        <v>17.3</v>
      </c>
      <c r="P132" s="4">
        <v>1.5</v>
      </c>
      <c r="Q132" s="1">
        <v>43.15</v>
      </c>
      <c r="R132" s="1">
        <v>22.02</v>
      </c>
      <c r="S132" s="8">
        <f t="shared" si="6"/>
        <v>65.17</v>
      </c>
      <c r="T132" s="8">
        <f t="shared" si="7"/>
        <v>37.540500000000002</v>
      </c>
      <c r="U132" s="8">
        <f t="shared" si="8"/>
        <v>19.157399999999999</v>
      </c>
      <c r="V132" s="4" t="s">
        <v>232</v>
      </c>
      <c r="W132" s="4" t="s">
        <v>232</v>
      </c>
    </row>
    <row r="133" spans="1:23" s="4" customFormat="1" x14ac:dyDescent="0.25">
      <c r="A133" s="4" t="s">
        <v>109</v>
      </c>
      <c r="B133" s="5" t="s">
        <v>110</v>
      </c>
      <c r="C133" s="5" t="s">
        <v>18</v>
      </c>
      <c r="D133" s="5" t="s">
        <v>19</v>
      </c>
      <c r="E133" s="5">
        <v>2019</v>
      </c>
      <c r="F133" s="5">
        <v>3</v>
      </c>
      <c r="G133" s="5">
        <v>44</v>
      </c>
      <c r="H133" s="5">
        <v>109</v>
      </c>
      <c r="I133" s="4" t="s">
        <v>219</v>
      </c>
      <c r="K133" s="4" t="s">
        <v>224</v>
      </c>
      <c r="L133" s="4" t="s">
        <v>232</v>
      </c>
      <c r="M133" s="4" t="s">
        <v>232</v>
      </c>
      <c r="N133" s="6">
        <v>780.8</v>
      </c>
      <c r="O133" s="6">
        <v>15.9</v>
      </c>
      <c r="P133" s="4">
        <v>2</v>
      </c>
      <c r="Q133" s="1">
        <v>43.63</v>
      </c>
      <c r="R133" s="1">
        <v>21.88</v>
      </c>
      <c r="S133" s="8">
        <f t="shared" si="6"/>
        <v>65.510000000000005</v>
      </c>
      <c r="T133" s="8">
        <f t="shared" si="7"/>
        <v>37.958100000000002</v>
      </c>
      <c r="U133" s="8">
        <f t="shared" si="8"/>
        <v>19.035599999999999</v>
      </c>
      <c r="V133" s="4" t="s">
        <v>232</v>
      </c>
      <c r="W133" s="4" t="s">
        <v>232</v>
      </c>
    </row>
    <row r="134" spans="1:23" s="4" customFormat="1" x14ac:dyDescent="0.25">
      <c r="A134" s="4" t="s">
        <v>147</v>
      </c>
      <c r="B134" s="5" t="s">
        <v>62</v>
      </c>
      <c r="C134" s="5" t="s">
        <v>18</v>
      </c>
      <c r="D134" s="5" t="s">
        <v>19</v>
      </c>
      <c r="E134" s="5">
        <v>2019</v>
      </c>
      <c r="F134" s="5">
        <v>1</v>
      </c>
      <c r="G134" s="5">
        <v>45</v>
      </c>
      <c r="H134" s="5">
        <v>43</v>
      </c>
      <c r="I134" s="4" t="s">
        <v>219</v>
      </c>
      <c r="J134" s="4">
        <v>34</v>
      </c>
      <c r="K134" s="4" t="s">
        <v>223</v>
      </c>
      <c r="L134" s="4">
        <v>1.5</v>
      </c>
      <c r="M134" s="4">
        <v>25</v>
      </c>
      <c r="N134" s="6">
        <v>1085.4000000000001</v>
      </c>
      <c r="O134" s="6">
        <v>15.4</v>
      </c>
      <c r="P134" s="4">
        <v>2</v>
      </c>
      <c r="Q134" s="1">
        <v>44.4</v>
      </c>
      <c r="R134" s="1">
        <v>22.57</v>
      </c>
      <c r="S134" s="8">
        <f t="shared" si="6"/>
        <v>66.97</v>
      </c>
      <c r="T134" s="8">
        <f t="shared" si="7"/>
        <v>38.628</v>
      </c>
      <c r="U134" s="8">
        <f t="shared" si="8"/>
        <v>19.635899999999999</v>
      </c>
      <c r="V134" s="4" t="s">
        <v>221</v>
      </c>
      <c r="W134" s="4" t="s">
        <v>232</v>
      </c>
    </row>
    <row r="135" spans="1:23" s="4" customFormat="1" x14ac:dyDescent="0.25">
      <c r="A135" s="4" t="s">
        <v>106</v>
      </c>
      <c r="B135" s="5" t="s">
        <v>62</v>
      </c>
      <c r="C135" s="5" t="s">
        <v>18</v>
      </c>
      <c r="D135" s="5" t="s">
        <v>19</v>
      </c>
      <c r="E135" s="5">
        <v>2019</v>
      </c>
      <c r="F135" s="5">
        <v>2</v>
      </c>
      <c r="G135" s="5">
        <v>45</v>
      </c>
      <c r="H135" s="5">
        <v>62</v>
      </c>
      <c r="I135" s="4" t="s">
        <v>219</v>
      </c>
      <c r="J135" s="4">
        <v>34</v>
      </c>
      <c r="K135" s="4" t="s">
        <v>223</v>
      </c>
      <c r="L135" s="4">
        <v>1.5</v>
      </c>
      <c r="M135" s="4">
        <v>31</v>
      </c>
      <c r="N135" s="6">
        <v>1037.9000000000001</v>
      </c>
      <c r="O135" s="6">
        <v>14.6</v>
      </c>
      <c r="P135" s="4">
        <v>2</v>
      </c>
      <c r="Q135" s="1">
        <v>43.05</v>
      </c>
      <c r="R135" s="1">
        <v>22.91</v>
      </c>
      <c r="S135" s="8">
        <f t="shared" si="6"/>
        <v>65.959999999999994</v>
      </c>
      <c r="T135" s="8">
        <f t="shared" si="7"/>
        <v>37.453499999999998</v>
      </c>
      <c r="U135" s="8">
        <f t="shared" si="8"/>
        <v>19.931699999999999</v>
      </c>
      <c r="V135" s="4" t="s">
        <v>221</v>
      </c>
      <c r="W135" s="4" t="s">
        <v>232</v>
      </c>
    </row>
    <row r="136" spans="1:23" s="4" customFormat="1" x14ac:dyDescent="0.25">
      <c r="A136" s="4" t="s">
        <v>61</v>
      </c>
      <c r="B136" s="5" t="s">
        <v>62</v>
      </c>
      <c r="C136" s="5" t="s">
        <v>18</v>
      </c>
      <c r="D136" s="5" t="s">
        <v>19</v>
      </c>
      <c r="E136" s="5">
        <v>2019</v>
      </c>
      <c r="F136" s="5">
        <v>3</v>
      </c>
      <c r="G136" s="5">
        <v>45</v>
      </c>
      <c r="H136" s="5">
        <v>140</v>
      </c>
      <c r="I136" s="4" t="s">
        <v>219</v>
      </c>
      <c r="K136" s="4" t="s">
        <v>223</v>
      </c>
      <c r="L136" s="4" t="s">
        <v>232</v>
      </c>
      <c r="M136" s="4" t="s">
        <v>232</v>
      </c>
      <c r="N136" s="6">
        <v>779.8</v>
      </c>
      <c r="O136" s="6">
        <v>14.1</v>
      </c>
      <c r="P136" s="4">
        <v>2.5</v>
      </c>
      <c r="Q136" s="1">
        <v>43.14</v>
      </c>
      <c r="R136" s="1">
        <v>23.17</v>
      </c>
      <c r="S136" s="8">
        <f t="shared" si="6"/>
        <v>66.31</v>
      </c>
      <c r="T136" s="8">
        <f t="shared" si="7"/>
        <v>37.531799999999997</v>
      </c>
      <c r="U136" s="8">
        <f t="shared" si="8"/>
        <v>20.157900000000001</v>
      </c>
      <c r="V136" s="4" t="s">
        <v>232</v>
      </c>
      <c r="W136" s="4" t="s">
        <v>232</v>
      </c>
    </row>
    <row r="137" spans="1:23" s="4" customFormat="1" x14ac:dyDescent="0.25">
      <c r="A137" s="4" t="s">
        <v>187</v>
      </c>
      <c r="B137" s="4" t="s">
        <v>76</v>
      </c>
      <c r="C137" s="4" t="s">
        <v>18</v>
      </c>
      <c r="D137" s="4" t="s">
        <v>19</v>
      </c>
      <c r="E137" s="4">
        <v>2019</v>
      </c>
      <c r="F137" s="4">
        <v>1</v>
      </c>
      <c r="G137" s="4">
        <v>46</v>
      </c>
      <c r="H137" s="4">
        <v>4</v>
      </c>
      <c r="I137" s="4" t="s">
        <v>218</v>
      </c>
      <c r="J137" s="4">
        <v>32</v>
      </c>
      <c r="K137" s="4" t="s">
        <v>223</v>
      </c>
      <c r="L137" s="4">
        <v>1.5</v>
      </c>
      <c r="M137" s="4">
        <v>32</v>
      </c>
      <c r="N137" s="6">
        <v>1404</v>
      </c>
      <c r="O137" s="6">
        <v>14.6</v>
      </c>
      <c r="P137" s="4">
        <v>1.5</v>
      </c>
      <c r="Q137" s="1">
        <v>41.85</v>
      </c>
      <c r="R137" s="1">
        <v>23.72</v>
      </c>
      <c r="S137" s="8">
        <f t="shared" si="6"/>
        <v>65.569999999999993</v>
      </c>
      <c r="T137" s="8">
        <f t="shared" si="7"/>
        <v>36.409500000000001</v>
      </c>
      <c r="U137" s="8">
        <f t="shared" si="8"/>
        <v>20.636399999999998</v>
      </c>
      <c r="V137" s="4" t="s">
        <v>232</v>
      </c>
      <c r="W137" s="4" t="s">
        <v>232</v>
      </c>
    </row>
    <row r="138" spans="1:23" s="4" customFormat="1" x14ac:dyDescent="0.25">
      <c r="A138" s="4" t="s">
        <v>75</v>
      </c>
      <c r="B138" s="5" t="s">
        <v>76</v>
      </c>
      <c r="C138" s="5" t="s">
        <v>18</v>
      </c>
      <c r="D138" s="5" t="s">
        <v>19</v>
      </c>
      <c r="E138" s="5">
        <v>2019</v>
      </c>
      <c r="F138" s="5">
        <v>2</v>
      </c>
      <c r="G138" s="5">
        <v>46</v>
      </c>
      <c r="H138" s="5">
        <v>99</v>
      </c>
      <c r="I138" s="4" t="s">
        <v>218</v>
      </c>
      <c r="J138" s="4">
        <v>34</v>
      </c>
      <c r="K138" s="4" t="s">
        <v>223</v>
      </c>
      <c r="L138" s="4">
        <v>2</v>
      </c>
      <c r="M138" s="4">
        <v>32</v>
      </c>
      <c r="N138" s="6">
        <v>1258.9000000000001</v>
      </c>
      <c r="O138" s="6">
        <v>14.9</v>
      </c>
      <c r="P138" s="4">
        <v>1.5</v>
      </c>
      <c r="Q138" s="1">
        <v>42.66</v>
      </c>
      <c r="R138" s="1">
        <v>23.06</v>
      </c>
      <c r="S138" s="8">
        <f t="shared" si="6"/>
        <v>65.72</v>
      </c>
      <c r="T138" s="8">
        <f t="shared" si="7"/>
        <v>37.114199999999997</v>
      </c>
      <c r="U138" s="8">
        <f t="shared" si="8"/>
        <v>20.062199999999997</v>
      </c>
      <c r="V138" s="4" t="s">
        <v>232</v>
      </c>
      <c r="W138" s="4" t="s">
        <v>232</v>
      </c>
    </row>
    <row r="139" spans="1:23" s="4" customFormat="1" x14ac:dyDescent="0.25">
      <c r="A139" s="4" t="s">
        <v>149</v>
      </c>
      <c r="B139" s="5" t="s">
        <v>76</v>
      </c>
      <c r="C139" s="5" t="s">
        <v>18</v>
      </c>
      <c r="D139" s="5" t="s">
        <v>19</v>
      </c>
      <c r="E139" s="5">
        <v>2019</v>
      </c>
      <c r="F139" s="5">
        <v>3</v>
      </c>
      <c r="G139" s="5">
        <v>46</v>
      </c>
      <c r="H139" s="5">
        <v>143</v>
      </c>
      <c r="I139" s="4" t="s">
        <v>218</v>
      </c>
      <c r="K139" s="4" t="s">
        <v>223</v>
      </c>
      <c r="L139" s="4" t="s">
        <v>232</v>
      </c>
      <c r="M139" s="4" t="s">
        <v>232</v>
      </c>
      <c r="N139" s="6">
        <v>844.4</v>
      </c>
      <c r="O139" s="6">
        <v>14.6</v>
      </c>
      <c r="P139" s="4">
        <v>2</v>
      </c>
      <c r="Q139" s="1">
        <v>42.33</v>
      </c>
      <c r="R139" s="1">
        <v>22.83</v>
      </c>
      <c r="S139" s="8">
        <f t="shared" si="6"/>
        <v>65.16</v>
      </c>
      <c r="T139" s="8">
        <f t="shared" si="7"/>
        <v>36.827100000000002</v>
      </c>
      <c r="U139" s="8">
        <f t="shared" si="8"/>
        <v>19.862099999999998</v>
      </c>
      <c r="V139" s="4" t="s">
        <v>232</v>
      </c>
      <c r="W139" s="4" t="s">
        <v>232</v>
      </c>
    </row>
    <row r="140" spans="1:23" s="4" customFormat="1" x14ac:dyDescent="0.25">
      <c r="A140" s="4" t="s">
        <v>58</v>
      </c>
      <c r="B140" s="5" t="s">
        <v>39</v>
      </c>
      <c r="C140" s="5" t="s">
        <v>18</v>
      </c>
      <c r="D140" s="5" t="s">
        <v>19</v>
      </c>
      <c r="E140" s="5">
        <v>2019</v>
      </c>
      <c r="F140" s="5">
        <v>1</v>
      </c>
      <c r="G140" s="5">
        <v>47</v>
      </c>
      <c r="H140" s="5">
        <v>40</v>
      </c>
      <c r="I140" s="4" t="s">
        <v>218</v>
      </c>
      <c r="J140" s="4">
        <v>34</v>
      </c>
      <c r="K140" s="4" t="s">
        <v>223</v>
      </c>
      <c r="L140" s="4">
        <v>1</v>
      </c>
      <c r="M140" s="4">
        <v>22</v>
      </c>
      <c r="N140" s="6">
        <v>344.2</v>
      </c>
      <c r="O140" s="6">
        <v>17.399999999999999</v>
      </c>
      <c r="P140" s="4">
        <v>1.5</v>
      </c>
      <c r="Q140" s="1">
        <v>44.54</v>
      </c>
      <c r="R140" s="1">
        <v>21.77</v>
      </c>
      <c r="S140" s="8">
        <f t="shared" si="6"/>
        <v>66.31</v>
      </c>
      <c r="T140" s="8">
        <f t="shared" si="7"/>
        <v>38.7498</v>
      </c>
      <c r="U140" s="8">
        <f t="shared" si="8"/>
        <v>18.939899999999998</v>
      </c>
      <c r="V140" s="4" t="s">
        <v>232</v>
      </c>
      <c r="W140" s="4" t="s">
        <v>232</v>
      </c>
    </row>
    <row r="141" spans="1:23" s="4" customFormat="1" x14ac:dyDescent="0.25">
      <c r="A141" s="4" t="s">
        <v>38</v>
      </c>
      <c r="B141" s="5" t="s">
        <v>39</v>
      </c>
      <c r="C141" s="5" t="s">
        <v>18</v>
      </c>
      <c r="D141" s="5" t="s">
        <v>19</v>
      </c>
      <c r="E141" s="5">
        <v>2019</v>
      </c>
      <c r="F141" s="5">
        <v>2</v>
      </c>
      <c r="G141" s="5">
        <v>47</v>
      </c>
      <c r="H141" s="5">
        <v>70</v>
      </c>
      <c r="I141" s="4" t="s">
        <v>218</v>
      </c>
      <c r="J141" s="4">
        <v>36</v>
      </c>
      <c r="K141" s="4" t="s">
        <v>223</v>
      </c>
      <c r="L141" s="4">
        <v>1</v>
      </c>
      <c r="M141" s="4">
        <v>24</v>
      </c>
      <c r="N141" s="6">
        <v>973.6</v>
      </c>
      <c r="O141" s="6">
        <v>16.5</v>
      </c>
      <c r="P141" s="4">
        <v>2.5</v>
      </c>
      <c r="Q141" s="1">
        <v>44.61</v>
      </c>
      <c r="R141" s="1">
        <v>21.16</v>
      </c>
      <c r="S141" s="8">
        <f t="shared" si="6"/>
        <v>65.77</v>
      </c>
      <c r="T141" s="8">
        <f t="shared" si="7"/>
        <v>38.810699999999997</v>
      </c>
      <c r="U141" s="8">
        <f t="shared" si="8"/>
        <v>18.409199999999998</v>
      </c>
      <c r="V141" s="4" t="s">
        <v>232</v>
      </c>
      <c r="W141" s="4" t="s">
        <v>232</v>
      </c>
    </row>
    <row r="142" spans="1:23" s="4" customFormat="1" x14ac:dyDescent="0.25">
      <c r="A142" s="4" t="s">
        <v>97</v>
      </c>
      <c r="B142" s="5" t="s">
        <v>39</v>
      </c>
      <c r="C142" s="5" t="s">
        <v>18</v>
      </c>
      <c r="D142" s="5" t="s">
        <v>19</v>
      </c>
      <c r="E142" s="5">
        <v>2019</v>
      </c>
      <c r="F142" s="5">
        <v>3</v>
      </c>
      <c r="G142" s="5">
        <v>47</v>
      </c>
      <c r="H142" s="5">
        <v>122</v>
      </c>
      <c r="I142" s="4" t="s">
        <v>218</v>
      </c>
      <c r="K142" s="4" t="s">
        <v>223</v>
      </c>
      <c r="L142" s="4" t="s">
        <v>232</v>
      </c>
      <c r="M142" s="4" t="s">
        <v>232</v>
      </c>
      <c r="N142" s="6">
        <v>775</v>
      </c>
      <c r="O142" s="6">
        <v>17.399999999999999</v>
      </c>
      <c r="P142" s="4">
        <v>2.5</v>
      </c>
      <c r="Q142" s="1">
        <v>47.03</v>
      </c>
      <c r="R142" s="1">
        <v>20.66</v>
      </c>
      <c r="S142" s="8">
        <f t="shared" si="6"/>
        <v>67.69</v>
      </c>
      <c r="T142" s="8">
        <f t="shared" si="7"/>
        <v>40.9161</v>
      </c>
      <c r="U142" s="8">
        <f t="shared" si="8"/>
        <v>17.9742</v>
      </c>
      <c r="V142" s="4" t="s">
        <v>232</v>
      </c>
      <c r="W142" s="4" t="s">
        <v>232</v>
      </c>
    </row>
    <row r="143" spans="1:23" s="4" customFormat="1" x14ac:dyDescent="0.25">
      <c r="A143" s="4" t="s">
        <v>96</v>
      </c>
      <c r="B143" s="5" t="s">
        <v>74</v>
      </c>
      <c r="C143" s="5" t="s">
        <v>18</v>
      </c>
      <c r="D143" s="5" t="s">
        <v>19</v>
      </c>
      <c r="E143" s="5">
        <v>2019</v>
      </c>
      <c r="F143" s="5">
        <v>1</v>
      </c>
      <c r="G143" s="5">
        <v>48</v>
      </c>
      <c r="H143" s="5">
        <v>29</v>
      </c>
      <c r="I143" s="4" t="s">
        <v>219</v>
      </c>
      <c r="J143" s="4">
        <v>30</v>
      </c>
      <c r="K143" s="4" t="s">
        <v>224</v>
      </c>
      <c r="L143" s="4">
        <v>1</v>
      </c>
      <c r="M143" s="4">
        <v>20</v>
      </c>
      <c r="N143" s="6">
        <v>1162.8</v>
      </c>
      <c r="O143" s="6">
        <v>12.7</v>
      </c>
      <c r="P143" s="4">
        <v>2</v>
      </c>
      <c r="Q143" s="1">
        <v>40.5</v>
      </c>
      <c r="R143" s="1">
        <v>22.86</v>
      </c>
      <c r="S143" s="8">
        <f t="shared" si="6"/>
        <v>63.36</v>
      </c>
      <c r="T143" s="8">
        <f t="shared" si="7"/>
        <v>35.234999999999999</v>
      </c>
      <c r="U143" s="8">
        <f t="shared" si="8"/>
        <v>19.888199999999998</v>
      </c>
      <c r="V143" s="4" t="s">
        <v>232</v>
      </c>
      <c r="W143" s="4" t="s">
        <v>232</v>
      </c>
    </row>
    <row r="144" spans="1:23" s="4" customFormat="1" x14ac:dyDescent="0.25">
      <c r="A144" s="4" t="s">
        <v>86</v>
      </c>
      <c r="B144" s="5" t="s">
        <v>74</v>
      </c>
      <c r="C144" s="5" t="s">
        <v>18</v>
      </c>
      <c r="D144" s="5" t="s">
        <v>19</v>
      </c>
      <c r="E144" s="5">
        <v>2019</v>
      </c>
      <c r="F144" s="5">
        <v>2</v>
      </c>
      <c r="G144" s="5">
        <v>48</v>
      </c>
      <c r="H144" s="5">
        <v>89</v>
      </c>
      <c r="I144" s="4" t="s">
        <v>219</v>
      </c>
      <c r="J144" s="4">
        <v>30</v>
      </c>
      <c r="K144" s="4" t="s">
        <v>224</v>
      </c>
      <c r="L144" s="4">
        <v>1.5</v>
      </c>
      <c r="M144" s="4">
        <v>27</v>
      </c>
      <c r="N144" s="6">
        <v>900.7</v>
      </c>
      <c r="O144" s="6">
        <v>14</v>
      </c>
      <c r="P144" s="4">
        <v>1.5</v>
      </c>
      <c r="Q144" s="1">
        <v>39.659999999999997</v>
      </c>
      <c r="R144" s="1">
        <v>23.04</v>
      </c>
      <c r="S144" s="8">
        <f t="shared" si="6"/>
        <v>62.699999999999996</v>
      </c>
      <c r="T144" s="8">
        <f t="shared" si="7"/>
        <v>34.504199999999997</v>
      </c>
      <c r="U144" s="8">
        <f t="shared" si="8"/>
        <v>20.044799999999999</v>
      </c>
      <c r="V144" s="4" t="s">
        <v>228</v>
      </c>
      <c r="W144" s="4" t="s">
        <v>232</v>
      </c>
    </row>
    <row r="145" spans="1:23" s="4" customFormat="1" x14ac:dyDescent="0.25">
      <c r="A145" s="4" t="s">
        <v>73</v>
      </c>
      <c r="B145" s="5" t="s">
        <v>74</v>
      </c>
      <c r="C145" s="5" t="s">
        <v>18</v>
      </c>
      <c r="D145" s="5" t="s">
        <v>19</v>
      </c>
      <c r="E145" s="5">
        <v>2019</v>
      </c>
      <c r="F145" s="5">
        <v>3</v>
      </c>
      <c r="G145" s="5">
        <v>48</v>
      </c>
      <c r="H145" s="5">
        <v>149</v>
      </c>
      <c r="I145" s="4" t="s">
        <v>219</v>
      </c>
      <c r="K145" s="4" t="s">
        <v>224</v>
      </c>
      <c r="L145" s="4" t="s">
        <v>232</v>
      </c>
      <c r="M145" s="4" t="s">
        <v>232</v>
      </c>
      <c r="N145" s="6">
        <v>1009</v>
      </c>
      <c r="O145" s="6">
        <v>13.4</v>
      </c>
      <c r="P145" s="4">
        <v>1</v>
      </c>
      <c r="Q145" s="7">
        <v>41.38</v>
      </c>
      <c r="R145" s="7">
        <v>22.13</v>
      </c>
      <c r="S145" s="8">
        <f t="shared" si="6"/>
        <v>63.510000000000005</v>
      </c>
      <c r="T145" s="8">
        <f t="shared" si="7"/>
        <v>36.000599999999999</v>
      </c>
      <c r="U145" s="8">
        <f t="shared" si="8"/>
        <v>19.2531</v>
      </c>
      <c r="V145" s="4" t="s">
        <v>232</v>
      </c>
      <c r="W145" s="4" t="s">
        <v>232</v>
      </c>
    </row>
    <row r="146" spans="1:23" s="4" customFormat="1" x14ac:dyDescent="0.25">
      <c r="A146" s="4" t="s">
        <v>209</v>
      </c>
      <c r="B146" s="4" t="s">
        <v>119</v>
      </c>
      <c r="C146" s="4" t="s">
        <v>18</v>
      </c>
      <c r="D146" s="4" t="s">
        <v>19</v>
      </c>
      <c r="E146" s="4">
        <v>2019</v>
      </c>
      <c r="F146" s="4">
        <v>1</v>
      </c>
      <c r="G146" s="4">
        <v>49</v>
      </c>
      <c r="H146" s="4">
        <v>36</v>
      </c>
      <c r="I146" s="4" t="s">
        <v>218</v>
      </c>
      <c r="J146" s="4">
        <v>30</v>
      </c>
      <c r="K146" s="4" t="s">
        <v>224</v>
      </c>
      <c r="L146" s="4">
        <v>1.5</v>
      </c>
      <c r="M146" s="4">
        <v>25</v>
      </c>
      <c r="N146" s="6">
        <v>1303.0999999999999</v>
      </c>
      <c r="O146" s="6">
        <v>13.9</v>
      </c>
      <c r="P146" s="4">
        <v>1.5</v>
      </c>
      <c r="Q146" s="1">
        <v>42.88</v>
      </c>
      <c r="R146" s="1">
        <v>22.6</v>
      </c>
      <c r="S146" s="8">
        <f t="shared" si="6"/>
        <v>65.48</v>
      </c>
      <c r="T146" s="8">
        <f t="shared" si="7"/>
        <v>37.305600000000005</v>
      </c>
      <c r="U146" s="8">
        <f t="shared" si="8"/>
        <v>19.662000000000003</v>
      </c>
      <c r="V146" s="4" t="s">
        <v>225</v>
      </c>
      <c r="W146" s="4" t="s">
        <v>232</v>
      </c>
    </row>
    <row r="147" spans="1:23" s="4" customFormat="1" x14ac:dyDescent="0.25">
      <c r="A147" s="4" t="s">
        <v>118</v>
      </c>
      <c r="B147" s="5" t="s">
        <v>119</v>
      </c>
      <c r="C147" s="5" t="s">
        <v>18</v>
      </c>
      <c r="D147" s="5" t="s">
        <v>19</v>
      </c>
      <c r="E147" s="5">
        <v>2019</v>
      </c>
      <c r="F147" s="5">
        <v>2</v>
      </c>
      <c r="G147" s="5">
        <v>49</v>
      </c>
      <c r="H147" s="5">
        <v>53</v>
      </c>
      <c r="I147" s="4" t="s">
        <v>218</v>
      </c>
      <c r="J147" s="4">
        <v>30</v>
      </c>
      <c r="K147" s="4" t="s">
        <v>224</v>
      </c>
      <c r="L147" s="4">
        <v>1</v>
      </c>
      <c r="M147" s="4">
        <v>24</v>
      </c>
      <c r="N147" s="6">
        <v>1119.5999999999999</v>
      </c>
      <c r="O147" s="6">
        <v>15.3</v>
      </c>
      <c r="P147" s="4">
        <v>1</v>
      </c>
      <c r="Q147" s="1">
        <v>44.11</v>
      </c>
      <c r="R147" s="1">
        <v>21.76</v>
      </c>
      <c r="S147" s="8">
        <f t="shared" si="6"/>
        <v>65.87</v>
      </c>
      <c r="T147" s="8">
        <f t="shared" si="7"/>
        <v>38.375700000000002</v>
      </c>
      <c r="U147" s="8">
        <f t="shared" si="8"/>
        <v>18.9312</v>
      </c>
      <c r="V147" s="4" t="s">
        <v>232</v>
      </c>
      <c r="W147" s="4" t="s">
        <v>232</v>
      </c>
    </row>
    <row r="148" spans="1:23" s="4" customFormat="1" x14ac:dyDescent="0.25">
      <c r="A148" s="4" t="s">
        <v>134</v>
      </c>
      <c r="B148" s="5" t="s">
        <v>119</v>
      </c>
      <c r="C148" s="5" t="s">
        <v>18</v>
      </c>
      <c r="D148" s="5" t="s">
        <v>19</v>
      </c>
      <c r="E148" s="5">
        <v>2019</v>
      </c>
      <c r="F148" s="5">
        <v>3</v>
      </c>
      <c r="G148" s="5">
        <v>49</v>
      </c>
      <c r="H148" s="5">
        <v>123</v>
      </c>
      <c r="I148" s="4" t="s">
        <v>218</v>
      </c>
      <c r="K148" s="4" t="s">
        <v>224</v>
      </c>
      <c r="L148" s="4" t="s">
        <v>232</v>
      </c>
      <c r="M148" s="4" t="s">
        <v>232</v>
      </c>
      <c r="N148" s="6">
        <v>701.6</v>
      </c>
      <c r="O148" s="6">
        <v>12.5</v>
      </c>
      <c r="P148" s="4">
        <v>1.5</v>
      </c>
      <c r="Q148" s="7">
        <v>43.59</v>
      </c>
      <c r="R148" s="7">
        <v>21.8</v>
      </c>
      <c r="S148" s="8">
        <f t="shared" si="6"/>
        <v>65.39</v>
      </c>
      <c r="T148" s="8">
        <f t="shared" si="7"/>
        <v>37.923300000000005</v>
      </c>
      <c r="U148" s="8">
        <f t="shared" si="8"/>
        <v>18.966000000000001</v>
      </c>
      <c r="V148" s="4" t="s">
        <v>232</v>
      </c>
      <c r="W148" s="4" t="s">
        <v>232</v>
      </c>
    </row>
    <row r="149" spans="1:23" s="4" customFormat="1" x14ac:dyDescent="0.25">
      <c r="A149" s="4" t="s">
        <v>171</v>
      </c>
      <c r="B149" s="4" t="s">
        <v>21</v>
      </c>
      <c r="C149" s="4" t="s">
        <v>18</v>
      </c>
      <c r="D149" s="4" t="s">
        <v>19</v>
      </c>
      <c r="E149" s="4">
        <v>2019</v>
      </c>
      <c r="F149" s="4">
        <v>1</v>
      </c>
      <c r="G149" s="4">
        <v>50</v>
      </c>
      <c r="H149" s="4">
        <v>27</v>
      </c>
      <c r="I149" s="4" t="s">
        <v>219</v>
      </c>
      <c r="J149" s="4">
        <v>31</v>
      </c>
      <c r="K149" s="4" t="s">
        <v>224</v>
      </c>
      <c r="L149" s="4">
        <v>1</v>
      </c>
      <c r="M149" s="4">
        <v>28</v>
      </c>
      <c r="N149" s="6">
        <v>1213.5</v>
      </c>
      <c r="O149" s="6">
        <v>14.3</v>
      </c>
      <c r="P149" s="4">
        <v>1.5</v>
      </c>
      <c r="Q149" s="1">
        <v>41.06</v>
      </c>
      <c r="R149" s="1">
        <v>23.16</v>
      </c>
      <c r="S149" s="8">
        <f t="shared" si="6"/>
        <v>64.22</v>
      </c>
      <c r="T149" s="8">
        <f t="shared" si="7"/>
        <v>35.722200000000001</v>
      </c>
      <c r="U149" s="8">
        <f t="shared" si="8"/>
        <v>20.1492</v>
      </c>
      <c r="V149" s="4" t="s">
        <v>232</v>
      </c>
      <c r="W149" s="4" t="s">
        <v>232</v>
      </c>
    </row>
    <row r="150" spans="1:23" s="4" customFormat="1" x14ac:dyDescent="0.25">
      <c r="A150" s="4" t="s">
        <v>20</v>
      </c>
      <c r="B150" s="5" t="s">
        <v>21</v>
      </c>
      <c r="C150" s="5" t="s">
        <v>18</v>
      </c>
      <c r="D150" s="5" t="s">
        <v>19</v>
      </c>
      <c r="E150" s="5">
        <v>2019</v>
      </c>
      <c r="F150" s="5">
        <v>2</v>
      </c>
      <c r="G150" s="5">
        <v>50</v>
      </c>
      <c r="H150" s="5">
        <v>51</v>
      </c>
      <c r="I150" s="4" t="s">
        <v>219</v>
      </c>
      <c r="J150" s="4">
        <v>31</v>
      </c>
      <c r="K150" s="4" t="s">
        <v>224</v>
      </c>
      <c r="L150" s="4">
        <v>1</v>
      </c>
      <c r="M150" s="4">
        <v>26</v>
      </c>
      <c r="N150" s="6">
        <v>1253.3</v>
      </c>
      <c r="O150" s="6">
        <v>15.4</v>
      </c>
      <c r="P150" s="4">
        <v>1</v>
      </c>
      <c r="Q150" s="1">
        <v>42.06</v>
      </c>
      <c r="R150" s="1">
        <v>22.41</v>
      </c>
      <c r="S150" s="8">
        <f t="shared" si="6"/>
        <v>64.47</v>
      </c>
      <c r="T150" s="8">
        <f t="shared" si="7"/>
        <v>36.592199999999998</v>
      </c>
      <c r="U150" s="8">
        <f t="shared" si="8"/>
        <v>19.496700000000001</v>
      </c>
      <c r="V150" s="4" t="s">
        <v>232</v>
      </c>
      <c r="W150" s="4" t="s">
        <v>232</v>
      </c>
    </row>
    <row r="151" spans="1:23" s="4" customFormat="1" x14ac:dyDescent="0.25">
      <c r="A151" s="4" t="s">
        <v>202</v>
      </c>
      <c r="B151" s="4" t="s">
        <v>21</v>
      </c>
      <c r="C151" s="4" t="s">
        <v>18</v>
      </c>
      <c r="D151" s="4" t="s">
        <v>19</v>
      </c>
      <c r="E151" s="4">
        <v>2019</v>
      </c>
      <c r="F151" s="4">
        <v>3</v>
      </c>
      <c r="G151" s="4">
        <v>50</v>
      </c>
      <c r="H151" s="4">
        <v>125</v>
      </c>
      <c r="I151" s="4" t="s">
        <v>219</v>
      </c>
      <c r="K151" s="4" t="s">
        <v>224</v>
      </c>
      <c r="L151" s="4" t="s">
        <v>232</v>
      </c>
      <c r="M151" s="4" t="s">
        <v>232</v>
      </c>
      <c r="N151" s="6">
        <v>862</v>
      </c>
      <c r="O151" s="6">
        <v>15.2</v>
      </c>
      <c r="P151" s="4">
        <v>2</v>
      </c>
      <c r="Q151" s="7">
        <v>43.91</v>
      </c>
      <c r="R151" s="7">
        <v>21.35</v>
      </c>
      <c r="S151" s="8">
        <f t="shared" si="6"/>
        <v>65.259999999999991</v>
      </c>
      <c r="T151" s="8">
        <f t="shared" si="7"/>
        <v>38.201699999999995</v>
      </c>
      <c r="U151" s="8">
        <f t="shared" si="8"/>
        <v>18.5745</v>
      </c>
      <c r="V151" s="4" t="s">
        <v>232</v>
      </c>
      <c r="W151" s="4" t="s">
        <v>232</v>
      </c>
    </row>
  </sheetData>
  <sortState xmlns:xlrd2="http://schemas.microsoft.com/office/spreadsheetml/2017/richdata2" ref="A2:W152">
    <sortCondition ref="G2:G152"/>
  </sortState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371475</xdr:colOff>
                <xdr:row>3</xdr:row>
                <xdr:rowOff>76200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86686-EC05-41A8-A31F-CDFF2590901E}">
  <sheetPr codeName="Sheet2"/>
  <dimension ref="A1:X151"/>
  <sheetViews>
    <sheetView tabSelected="1" zoomScaleNormal="100" workbookViewId="0">
      <selection activeCell="F39" sqref="F39"/>
    </sheetView>
  </sheetViews>
  <sheetFormatPr defaultRowHeight="15.75" x14ac:dyDescent="0.25"/>
  <cols>
    <col min="1" max="1" width="12" style="2" customWidth="1"/>
    <col min="2" max="3" width="9.33203125" style="2"/>
    <col min="4" max="4" width="14.83203125" style="2" customWidth="1"/>
    <col min="5" max="7" width="9.33203125" style="2"/>
    <col min="8" max="8" width="9.33203125" style="2" customWidth="1"/>
    <col min="9" max="12" width="9.33203125" style="2"/>
    <col min="13" max="13" width="6.83203125" style="2" customWidth="1"/>
    <col min="14" max="14" width="12.6640625" style="9" bestFit="1" customWidth="1"/>
    <col min="15" max="15" width="12.83203125" style="9" bestFit="1" customWidth="1"/>
    <col min="16" max="17" width="12.83203125" style="9" customWidth="1"/>
    <col min="18" max="20" width="6.83203125" style="9" customWidth="1"/>
    <col min="21" max="21" width="9.33203125" style="2" customWidth="1"/>
    <col min="22" max="22" width="9.33203125" style="2"/>
    <col min="23" max="23" width="12" style="2" customWidth="1"/>
    <col min="24" max="24" width="10" style="2" bestFit="1" customWidth="1"/>
    <col min="25" max="16384" width="9.33203125" style="2"/>
  </cols>
  <sheetData>
    <row r="1" spans="1:24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242</v>
      </c>
      <c r="L1" s="2" t="s">
        <v>13</v>
      </c>
      <c r="M1" s="3" t="s">
        <v>229</v>
      </c>
      <c r="N1" s="1" t="s">
        <v>236</v>
      </c>
      <c r="O1" s="1" t="s">
        <v>237</v>
      </c>
      <c r="P1" s="1" t="s">
        <v>241</v>
      </c>
      <c r="Q1" s="1"/>
      <c r="R1" s="7" t="s">
        <v>238</v>
      </c>
      <c r="S1" s="7" t="s">
        <v>239</v>
      </c>
      <c r="T1" s="1" t="s">
        <v>240</v>
      </c>
      <c r="U1" s="3" t="s">
        <v>7</v>
      </c>
      <c r="V1" s="3" t="s">
        <v>9</v>
      </c>
      <c r="W1" s="3" t="s">
        <v>14</v>
      </c>
      <c r="X1" s="3" t="s">
        <v>231</v>
      </c>
    </row>
    <row r="2" spans="1:24" s="4" customFormat="1" x14ac:dyDescent="0.25">
      <c r="A2" s="5" t="s">
        <v>19</v>
      </c>
      <c r="B2" s="5">
        <v>2019</v>
      </c>
      <c r="C2" s="5" t="s">
        <v>18</v>
      </c>
      <c r="D2" s="5" t="s">
        <v>78</v>
      </c>
      <c r="E2" s="5">
        <v>1</v>
      </c>
      <c r="F2" s="5">
        <v>1</v>
      </c>
      <c r="G2" s="5">
        <v>49</v>
      </c>
      <c r="H2" s="4">
        <v>33</v>
      </c>
      <c r="I2" s="4">
        <v>2</v>
      </c>
      <c r="J2" s="4">
        <v>30</v>
      </c>
      <c r="K2" s="6">
        <v>961.4</v>
      </c>
      <c r="L2" s="6">
        <v>17.399999999999999</v>
      </c>
      <c r="M2" s="4">
        <v>2</v>
      </c>
      <c r="N2" s="8">
        <v>38.714999999999996</v>
      </c>
      <c r="O2" s="8">
        <v>20.532</v>
      </c>
      <c r="P2" s="8">
        <f>N2+O2</f>
        <v>59.247</v>
      </c>
      <c r="Q2" s="8"/>
      <c r="R2" s="1">
        <v>44.5</v>
      </c>
      <c r="S2" s="1">
        <v>23.6</v>
      </c>
      <c r="T2" s="8">
        <v>68.099999999999994</v>
      </c>
      <c r="U2" s="4" t="s">
        <v>218</v>
      </c>
      <c r="V2" s="4" t="s">
        <v>223</v>
      </c>
      <c r="W2" s="4" t="s">
        <v>227</v>
      </c>
      <c r="X2" s="4" t="s">
        <v>232</v>
      </c>
    </row>
    <row r="3" spans="1:24" s="4" customFormat="1" x14ac:dyDescent="0.25">
      <c r="A3" s="4" t="s">
        <v>19</v>
      </c>
      <c r="B3" s="4">
        <v>2019</v>
      </c>
      <c r="C3" s="4" t="s">
        <v>18</v>
      </c>
      <c r="D3" s="4" t="s">
        <v>78</v>
      </c>
      <c r="E3" s="4">
        <v>1</v>
      </c>
      <c r="F3" s="4">
        <v>2</v>
      </c>
      <c r="G3" s="4">
        <v>95</v>
      </c>
      <c r="H3" s="4">
        <v>35</v>
      </c>
      <c r="I3" s="4">
        <v>2</v>
      </c>
      <c r="J3" s="4">
        <v>32</v>
      </c>
      <c r="K3" s="6">
        <v>1282.5999999999999</v>
      </c>
      <c r="L3" s="6">
        <v>17</v>
      </c>
      <c r="M3" s="4">
        <v>1.5</v>
      </c>
      <c r="N3" s="8">
        <v>37.166399999999996</v>
      </c>
      <c r="O3" s="8">
        <v>21.141000000000002</v>
      </c>
      <c r="P3" s="8">
        <f t="shared" ref="P3:P66" si="0">N3+O3</f>
        <v>58.307400000000001</v>
      </c>
      <c r="Q3" s="8"/>
      <c r="R3" s="1">
        <v>42.72</v>
      </c>
      <c r="S3" s="1">
        <v>24.3</v>
      </c>
      <c r="T3" s="8">
        <v>67.02</v>
      </c>
      <c r="U3" s="4" t="s">
        <v>218</v>
      </c>
      <c r="V3" s="4" t="s">
        <v>223</v>
      </c>
      <c r="W3" s="4" t="s">
        <v>232</v>
      </c>
      <c r="X3" s="4" t="s">
        <v>232</v>
      </c>
    </row>
    <row r="4" spans="1:24" s="4" customFormat="1" x14ac:dyDescent="0.25">
      <c r="A4" s="4" t="s">
        <v>19</v>
      </c>
      <c r="B4" s="4">
        <v>2019</v>
      </c>
      <c r="C4" s="4" t="s">
        <v>18</v>
      </c>
      <c r="D4" s="4" t="s">
        <v>78</v>
      </c>
      <c r="E4" s="4">
        <v>1</v>
      </c>
      <c r="F4" s="4">
        <v>3</v>
      </c>
      <c r="G4" s="4">
        <v>136</v>
      </c>
      <c r="I4" s="4" t="s">
        <v>232</v>
      </c>
      <c r="J4" s="4" t="s">
        <v>232</v>
      </c>
      <c r="K4" s="6">
        <v>648.29999999999995</v>
      </c>
      <c r="L4" s="6">
        <v>17.5</v>
      </c>
      <c r="M4" s="4">
        <v>2</v>
      </c>
      <c r="N4" s="8">
        <v>37.714500000000001</v>
      </c>
      <c r="O4" s="8">
        <v>20.436299999999999</v>
      </c>
      <c r="P4" s="8">
        <f t="shared" si="0"/>
        <v>58.150800000000004</v>
      </c>
      <c r="Q4" s="8"/>
      <c r="R4" s="1">
        <v>43.35</v>
      </c>
      <c r="S4" s="1">
        <v>23.49</v>
      </c>
      <c r="T4" s="8">
        <v>66.84</v>
      </c>
      <c r="U4" s="4" t="s">
        <v>218</v>
      </c>
      <c r="V4" s="4" t="s">
        <v>223</v>
      </c>
      <c r="W4" s="4" t="s">
        <v>232</v>
      </c>
      <c r="X4" s="4" t="s">
        <v>232</v>
      </c>
    </row>
    <row r="5" spans="1:24" s="4" customFormat="1" x14ac:dyDescent="0.25">
      <c r="A5" s="5" t="s">
        <v>19</v>
      </c>
      <c r="B5" s="5">
        <v>2019</v>
      </c>
      <c r="C5" s="5" t="s">
        <v>18</v>
      </c>
      <c r="D5" s="5" t="s">
        <v>66</v>
      </c>
      <c r="E5" s="5">
        <v>2</v>
      </c>
      <c r="F5" s="5">
        <v>1</v>
      </c>
      <c r="G5" s="5">
        <v>22</v>
      </c>
      <c r="H5" s="4">
        <v>34</v>
      </c>
      <c r="I5" s="4">
        <v>2</v>
      </c>
      <c r="J5" s="4">
        <v>28</v>
      </c>
      <c r="K5" s="6">
        <v>1088.2</v>
      </c>
      <c r="L5" s="6">
        <v>14.7</v>
      </c>
      <c r="M5" s="4">
        <v>1.5</v>
      </c>
      <c r="N5" s="8">
        <v>39.393599999999999</v>
      </c>
      <c r="O5" s="8">
        <v>19.6968</v>
      </c>
      <c r="P5" s="8">
        <f t="shared" si="0"/>
        <v>59.090400000000002</v>
      </c>
      <c r="Q5" s="8"/>
      <c r="R5" s="1">
        <v>45.28</v>
      </c>
      <c r="S5" s="1">
        <v>22.64</v>
      </c>
      <c r="T5" s="8">
        <v>67.92</v>
      </c>
      <c r="U5" s="4" t="s">
        <v>219</v>
      </c>
      <c r="V5" s="4" t="s">
        <v>223</v>
      </c>
      <c r="W5" s="4" t="s">
        <v>232</v>
      </c>
      <c r="X5" s="4" t="s">
        <v>232</v>
      </c>
    </row>
    <row r="6" spans="1:24" s="4" customFormat="1" x14ac:dyDescent="0.25">
      <c r="A6" s="5" t="s">
        <v>19</v>
      </c>
      <c r="B6" s="5">
        <v>2019</v>
      </c>
      <c r="C6" s="5" t="s">
        <v>18</v>
      </c>
      <c r="D6" s="5" t="s">
        <v>66</v>
      </c>
      <c r="E6" s="5">
        <v>2</v>
      </c>
      <c r="F6" s="5">
        <v>2</v>
      </c>
      <c r="G6" s="5">
        <v>91</v>
      </c>
      <c r="H6" s="4">
        <v>32</v>
      </c>
      <c r="I6" s="4">
        <v>2</v>
      </c>
      <c r="J6" s="4">
        <v>34</v>
      </c>
      <c r="K6" s="6">
        <v>1262.9000000000001</v>
      </c>
      <c r="L6" s="6">
        <v>15.2</v>
      </c>
      <c r="M6" s="4">
        <v>1.5</v>
      </c>
      <c r="N6" s="8">
        <v>38.3322</v>
      </c>
      <c r="O6" s="8">
        <v>20.062199999999997</v>
      </c>
      <c r="P6" s="8">
        <f t="shared" si="0"/>
        <v>58.394399999999997</v>
      </c>
      <c r="Q6" s="8"/>
      <c r="R6" s="1">
        <v>44.06</v>
      </c>
      <c r="S6" s="1">
        <v>23.06</v>
      </c>
      <c r="T6" s="8">
        <v>67.12</v>
      </c>
      <c r="U6" s="4" t="s">
        <v>219</v>
      </c>
      <c r="V6" s="4" t="s">
        <v>223</v>
      </c>
      <c r="W6" s="4" t="s">
        <v>232</v>
      </c>
      <c r="X6" s="4" t="s">
        <v>232</v>
      </c>
    </row>
    <row r="7" spans="1:24" s="4" customFormat="1" x14ac:dyDescent="0.25">
      <c r="A7" s="5" t="s">
        <v>19</v>
      </c>
      <c r="B7" s="5">
        <v>2019</v>
      </c>
      <c r="C7" s="5" t="s">
        <v>18</v>
      </c>
      <c r="D7" s="5" t="s">
        <v>66</v>
      </c>
      <c r="E7" s="5">
        <v>2</v>
      </c>
      <c r="F7" s="5">
        <v>3</v>
      </c>
      <c r="G7" s="5">
        <v>103</v>
      </c>
      <c r="I7" s="4" t="s">
        <v>232</v>
      </c>
      <c r="J7" s="4" t="s">
        <v>232</v>
      </c>
      <c r="K7" s="6">
        <v>1364.2</v>
      </c>
      <c r="L7" s="6">
        <v>15.7</v>
      </c>
      <c r="M7" s="4">
        <v>2</v>
      </c>
      <c r="N7" s="8">
        <v>38.636699999999998</v>
      </c>
      <c r="O7" s="8">
        <v>19.401</v>
      </c>
      <c r="P7" s="8">
        <f t="shared" si="0"/>
        <v>58.037700000000001</v>
      </c>
      <c r="Q7" s="8"/>
      <c r="R7" s="1">
        <v>44.41</v>
      </c>
      <c r="S7" s="1">
        <v>22.3</v>
      </c>
      <c r="T7" s="8">
        <v>66.709999999999994</v>
      </c>
      <c r="U7" s="4" t="s">
        <v>219</v>
      </c>
      <c r="V7" s="4" t="s">
        <v>223</v>
      </c>
      <c r="W7" s="4" t="s">
        <v>232</v>
      </c>
      <c r="X7" s="4" t="s">
        <v>232</v>
      </c>
    </row>
    <row r="8" spans="1:24" s="4" customFormat="1" x14ac:dyDescent="0.25">
      <c r="A8" s="5" t="s">
        <v>19</v>
      </c>
      <c r="B8" s="5">
        <v>2019</v>
      </c>
      <c r="C8" s="5" t="s">
        <v>18</v>
      </c>
      <c r="D8" s="5" t="s">
        <v>29</v>
      </c>
      <c r="E8" s="5">
        <v>3</v>
      </c>
      <c r="F8" s="5">
        <v>1</v>
      </c>
      <c r="G8" s="5">
        <v>47</v>
      </c>
      <c r="H8" s="4">
        <v>32</v>
      </c>
      <c r="I8" s="4">
        <v>1.5</v>
      </c>
      <c r="J8" s="4">
        <v>31</v>
      </c>
      <c r="K8" s="6">
        <v>890.9</v>
      </c>
      <c r="L8" s="6">
        <v>15.6</v>
      </c>
      <c r="M8" s="4">
        <v>2</v>
      </c>
      <c r="N8" s="8">
        <v>36.183300000000003</v>
      </c>
      <c r="O8" s="8">
        <v>21.227999999999998</v>
      </c>
      <c r="P8" s="8">
        <f t="shared" si="0"/>
        <v>57.411299999999997</v>
      </c>
      <c r="Q8" s="8"/>
      <c r="R8" s="1">
        <v>41.59</v>
      </c>
      <c r="S8" s="1">
        <v>24.4</v>
      </c>
      <c r="T8" s="8">
        <v>65.990000000000009</v>
      </c>
      <c r="U8" s="4" t="s">
        <v>218</v>
      </c>
      <c r="V8" s="4" t="s">
        <v>223</v>
      </c>
      <c r="W8" s="4" t="s">
        <v>232</v>
      </c>
      <c r="X8" s="4" t="s">
        <v>232</v>
      </c>
    </row>
    <row r="9" spans="1:24" s="4" customFormat="1" x14ac:dyDescent="0.25">
      <c r="A9" s="4" t="s">
        <v>19</v>
      </c>
      <c r="B9" s="4">
        <v>2019</v>
      </c>
      <c r="C9" s="4" t="s">
        <v>18</v>
      </c>
      <c r="D9" s="4" t="s">
        <v>29</v>
      </c>
      <c r="E9" s="4">
        <v>3</v>
      </c>
      <c r="F9" s="4">
        <v>2</v>
      </c>
      <c r="G9" s="4">
        <v>56</v>
      </c>
      <c r="H9" s="4">
        <v>33</v>
      </c>
      <c r="I9" s="4">
        <v>1.5</v>
      </c>
      <c r="J9" s="4">
        <v>30</v>
      </c>
      <c r="K9" s="6">
        <v>1034.5999999999999</v>
      </c>
      <c r="L9" s="6">
        <v>15.8</v>
      </c>
      <c r="M9" s="4">
        <v>1.5</v>
      </c>
      <c r="N9" s="8">
        <v>36.705300000000001</v>
      </c>
      <c r="O9" s="8">
        <v>20.906100000000002</v>
      </c>
      <c r="P9" s="8">
        <f t="shared" si="0"/>
        <v>57.611400000000003</v>
      </c>
      <c r="Q9" s="8"/>
      <c r="R9" s="1">
        <v>42.19</v>
      </c>
      <c r="S9" s="1">
        <v>24.03</v>
      </c>
      <c r="T9" s="8">
        <v>66.22</v>
      </c>
      <c r="U9" s="4" t="s">
        <v>218</v>
      </c>
      <c r="V9" s="4" t="s">
        <v>223</v>
      </c>
      <c r="W9" s="4" t="s">
        <v>232</v>
      </c>
      <c r="X9" s="4" t="s">
        <v>232</v>
      </c>
    </row>
    <row r="10" spans="1:24" s="4" customFormat="1" x14ac:dyDescent="0.25">
      <c r="A10" s="5" t="s">
        <v>19</v>
      </c>
      <c r="B10" s="5">
        <v>2019</v>
      </c>
      <c r="C10" s="5" t="s">
        <v>18</v>
      </c>
      <c r="D10" s="5" t="s">
        <v>29</v>
      </c>
      <c r="E10" s="5">
        <v>3</v>
      </c>
      <c r="F10" s="5">
        <v>3</v>
      </c>
      <c r="G10" s="5">
        <v>110</v>
      </c>
      <c r="I10" s="4" t="s">
        <v>232</v>
      </c>
      <c r="J10" s="4" t="s">
        <v>232</v>
      </c>
      <c r="K10" s="6">
        <v>656.3</v>
      </c>
      <c r="L10" s="6">
        <v>14.1</v>
      </c>
      <c r="M10" s="4">
        <v>1.5</v>
      </c>
      <c r="N10" s="8">
        <v>37.209900000000005</v>
      </c>
      <c r="O10" s="8">
        <v>20.062199999999997</v>
      </c>
      <c r="P10" s="8">
        <f t="shared" si="0"/>
        <v>57.272100000000002</v>
      </c>
      <c r="Q10" s="8"/>
      <c r="R10" s="1">
        <v>42.77</v>
      </c>
      <c r="S10" s="1">
        <v>23.06</v>
      </c>
      <c r="T10" s="8">
        <v>65.83</v>
      </c>
      <c r="U10" s="4" t="s">
        <v>218</v>
      </c>
      <c r="V10" s="4" t="s">
        <v>223</v>
      </c>
      <c r="W10" s="4" t="s">
        <v>232</v>
      </c>
      <c r="X10" s="4" t="s">
        <v>232</v>
      </c>
    </row>
    <row r="11" spans="1:24" s="4" customFormat="1" x14ac:dyDescent="0.25">
      <c r="A11" s="5" t="s">
        <v>19</v>
      </c>
      <c r="B11" s="5">
        <v>2019</v>
      </c>
      <c r="C11" s="5" t="s">
        <v>18</v>
      </c>
      <c r="D11" s="5" t="s">
        <v>27</v>
      </c>
      <c r="E11" s="5">
        <v>4</v>
      </c>
      <c r="F11" s="5">
        <v>1</v>
      </c>
      <c r="G11" s="5">
        <v>18</v>
      </c>
      <c r="H11" s="4">
        <v>34</v>
      </c>
      <c r="I11" s="4">
        <v>15</v>
      </c>
      <c r="J11" s="4">
        <v>29</v>
      </c>
      <c r="K11" s="6">
        <v>1035.2</v>
      </c>
      <c r="L11" s="6">
        <v>14.6</v>
      </c>
      <c r="M11" s="4">
        <v>3</v>
      </c>
      <c r="N11" s="8">
        <v>36.879300000000001</v>
      </c>
      <c r="O11" s="8">
        <v>20.271000000000001</v>
      </c>
      <c r="P11" s="8">
        <f t="shared" si="0"/>
        <v>57.150300000000001</v>
      </c>
      <c r="Q11" s="8"/>
      <c r="R11" s="1">
        <v>42.39</v>
      </c>
      <c r="S11" s="1">
        <v>23.3</v>
      </c>
      <c r="T11" s="8">
        <v>65.69</v>
      </c>
      <c r="U11" s="4" t="s">
        <v>218</v>
      </c>
      <c r="V11" s="4" t="s">
        <v>223</v>
      </c>
      <c r="W11" s="4" t="s">
        <v>232</v>
      </c>
      <c r="X11" s="4" t="s">
        <v>230</v>
      </c>
    </row>
    <row r="12" spans="1:24" s="4" customFormat="1" x14ac:dyDescent="0.25">
      <c r="A12" s="5" t="s">
        <v>19</v>
      </c>
      <c r="B12" s="5">
        <v>2019</v>
      </c>
      <c r="C12" s="5" t="s">
        <v>18</v>
      </c>
      <c r="D12" s="5" t="s">
        <v>27</v>
      </c>
      <c r="E12" s="5">
        <v>4</v>
      </c>
      <c r="F12" s="5">
        <v>2</v>
      </c>
      <c r="G12" s="5">
        <v>60</v>
      </c>
      <c r="H12" s="4">
        <v>34</v>
      </c>
      <c r="I12" s="4">
        <v>1.5</v>
      </c>
      <c r="J12" s="4">
        <v>24</v>
      </c>
      <c r="K12" s="6">
        <v>1093.0999999999999</v>
      </c>
      <c r="L12" s="6">
        <v>15.1</v>
      </c>
      <c r="M12" s="4">
        <v>1.5</v>
      </c>
      <c r="N12" s="8">
        <v>37.575299999999999</v>
      </c>
      <c r="O12" s="8">
        <v>20.227499999999999</v>
      </c>
      <c r="P12" s="8">
        <f t="shared" si="0"/>
        <v>57.802799999999998</v>
      </c>
      <c r="Q12" s="8"/>
      <c r="R12" s="1">
        <v>43.19</v>
      </c>
      <c r="S12" s="1">
        <v>23.25</v>
      </c>
      <c r="T12" s="8">
        <v>66.44</v>
      </c>
      <c r="U12" s="4" t="s">
        <v>218</v>
      </c>
      <c r="V12" s="4" t="s">
        <v>223</v>
      </c>
      <c r="W12" s="4" t="s">
        <v>232</v>
      </c>
      <c r="X12" s="4" t="s">
        <v>232</v>
      </c>
    </row>
    <row r="13" spans="1:24" s="4" customFormat="1" x14ac:dyDescent="0.25">
      <c r="A13" s="5" t="s">
        <v>19</v>
      </c>
      <c r="B13" s="5">
        <v>2019</v>
      </c>
      <c r="C13" s="5" t="s">
        <v>18</v>
      </c>
      <c r="D13" s="5" t="s">
        <v>27</v>
      </c>
      <c r="E13" s="5">
        <v>4</v>
      </c>
      <c r="F13" s="5">
        <v>3</v>
      </c>
      <c r="G13" s="5">
        <v>119</v>
      </c>
      <c r="I13" s="4" t="s">
        <v>232</v>
      </c>
      <c r="J13" s="4" t="s">
        <v>232</v>
      </c>
      <c r="K13" s="6">
        <v>1020.6</v>
      </c>
      <c r="L13" s="6">
        <v>15.5</v>
      </c>
      <c r="M13" s="4">
        <v>2</v>
      </c>
      <c r="N13" s="8">
        <v>37.453499999999998</v>
      </c>
      <c r="O13" s="8">
        <v>20.184000000000001</v>
      </c>
      <c r="P13" s="8">
        <f t="shared" si="0"/>
        <v>57.637500000000003</v>
      </c>
      <c r="Q13" s="8"/>
      <c r="R13" s="1">
        <v>43.05</v>
      </c>
      <c r="S13" s="1">
        <v>23.2</v>
      </c>
      <c r="T13" s="8">
        <v>66.25</v>
      </c>
      <c r="U13" s="4" t="s">
        <v>218</v>
      </c>
      <c r="V13" s="4" t="s">
        <v>223</v>
      </c>
      <c r="W13" s="4" t="s">
        <v>232</v>
      </c>
      <c r="X13" s="4" t="s">
        <v>232</v>
      </c>
    </row>
    <row r="14" spans="1:24" s="4" customFormat="1" x14ac:dyDescent="0.25">
      <c r="A14" s="5" t="s">
        <v>19</v>
      </c>
      <c r="B14" s="5">
        <v>2019</v>
      </c>
      <c r="C14" s="5" t="s">
        <v>18</v>
      </c>
      <c r="D14" s="5" t="s">
        <v>53</v>
      </c>
      <c r="E14" s="5">
        <v>5</v>
      </c>
      <c r="F14" s="5">
        <v>1</v>
      </c>
      <c r="G14" s="5">
        <v>31</v>
      </c>
      <c r="H14" s="4">
        <v>30</v>
      </c>
      <c r="I14" s="4">
        <v>1.5</v>
      </c>
      <c r="J14" s="4">
        <v>24</v>
      </c>
      <c r="K14" s="6">
        <v>1012.2</v>
      </c>
      <c r="L14" s="6">
        <v>16.2</v>
      </c>
      <c r="M14" s="4">
        <v>2.5</v>
      </c>
      <c r="N14" s="8">
        <v>38.4801</v>
      </c>
      <c r="O14" s="8">
        <v>19.1052</v>
      </c>
      <c r="P14" s="8">
        <f t="shared" si="0"/>
        <v>57.585300000000004</v>
      </c>
      <c r="Q14" s="8"/>
      <c r="R14" s="1">
        <v>44.23</v>
      </c>
      <c r="S14" s="1">
        <v>21.96</v>
      </c>
      <c r="T14" s="8">
        <v>66.19</v>
      </c>
      <c r="U14" s="4" t="s">
        <v>218</v>
      </c>
      <c r="V14" s="4" t="s">
        <v>223</v>
      </c>
      <c r="W14" s="4" t="s">
        <v>232</v>
      </c>
      <c r="X14" s="4" t="s">
        <v>232</v>
      </c>
    </row>
    <row r="15" spans="1:24" s="4" customFormat="1" x14ac:dyDescent="0.25">
      <c r="A15" s="5" t="s">
        <v>19</v>
      </c>
      <c r="B15" s="5">
        <v>2019</v>
      </c>
      <c r="C15" s="5" t="s">
        <v>18</v>
      </c>
      <c r="D15" s="5" t="s">
        <v>53</v>
      </c>
      <c r="E15" s="5">
        <v>5</v>
      </c>
      <c r="F15" s="5">
        <v>2</v>
      </c>
      <c r="G15" s="5">
        <v>72</v>
      </c>
      <c r="H15" s="4">
        <v>31</v>
      </c>
      <c r="I15" s="4">
        <v>1.5</v>
      </c>
      <c r="J15" s="4">
        <v>23</v>
      </c>
      <c r="K15" s="6">
        <v>1108.5999999999999</v>
      </c>
      <c r="L15" s="6">
        <v>16.2</v>
      </c>
      <c r="M15" s="4">
        <v>3</v>
      </c>
      <c r="N15" s="8">
        <v>39.036899999999996</v>
      </c>
      <c r="O15" s="8">
        <v>19.392299999999999</v>
      </c>
      <c r="P15" s="8">
        <f t="shared" si="0"/>
        <v>58.429199999999994</v>
      </c>
      <c r="Q15" s="8"/>
      <c r="R15" s="1">
        <v>44.87</v>
      </c>
      <c r="S15" s="1">
        <v>22.29</v>
      </c>
      <c r="T15" s="8">
        <v>67.16</v>
      </c>
      <c r="U15" s="4" t="s">
        <v>218</v>
      </c>
      <c r="V15" s="4" t="s">
        <v>223</v>
      </c>
      <c r="W15" s="4" t="s">
        <v>232</v>
      </c>
      <c r="X15" s="4" t="s">
        <v>230</v>
      </c>
    </row>
    <row r="16" spans="1:24" s="4" customFormat="1" x14ac:dyDescent="0.25">
      <c r="A16" s="5" t="s">
        <v>19</v>
      </c>
      <c r="B16" s="5">
        <v>2019</v>
      </c>
      <c r="C16" s="5" t="s">
        <v>18</v>
      </c>
      <c r="D16" s="5" t="s">
        <v>53</v>
      </c>
      <c r="E16" s="5">
        <v>5</v>
      </c>
      <c r="F16" s="5">
        <v>3</v>
      </c>
      <c r="G16" s="5">
        <v>150</v>
      </c>
      <c r="I16" s="4" t="s">
        <v>232</v>
      </c>
      <c r="J16" s="4" t="s">
        <v>232</v>
      </c>
      <c r="K16" s="6">
        <v>772.2</v>
      </c>
      <c r="L16" s="6">
        <v>16.3</v>
      </c>
      <c r="M16" s="4">
        <v>3</v>
      </c>
      <c r="N16" s="8">
        <v>38.427900000000001</v>
      </c>
      <c r="O16" s="8">
        <v>19.174799999999998</v>
      </c>
      <c r="P16" s="8">
        <f t="shared" si="0"/>
        <v>57.602699999999999</v>
      </c>
      <c r="Q16" s="8"/>
      <c r="R16" s="1">
        <v>44.17</v>
      </c>
      <c r="S16" s="1">
        <v>22.04</v>
      </c>
      <c r="T16" s="8">
        <v>66.210000000000008</v>
      </c>
      <c r="U16" s="4" t="s">
        <v>218</v>
      </c>
      <c r="V16" s="4" t="s">
        <v>223</v>
      </c>
      <c r="W16" s="4" t="s">
        <v>232</v>
      </c>
      <c r="X16" s="4" t="s">
        <v>232</v>
      </c>
    </row>
    <row r="17" spans="1:24" s="4" customFormat="1" x14ac:dyDescent="0.25">
      <c r="A17" s="4" t="s">
        <v>19</v>
      </c>
      <c r="B17" s="4">
        <v>2019</v>
      </c>
      <c r="C17" s="4" t="s">
        <v>18</v>
      </c>
      <c r="D17" s="4" t="s">
        <v>186</v>
      </c>
      <c r="E17" s="4">
        <v>6</v>
      </c>
      <c r="F17" s="4">
        <v>1</v>
      </c>
      <c r="G17" s="4">
        <v>45</v>
      </c>
      <c r="H17" s="4">
        <v>30</v>
      </c>
      <c r="I17" s="4">
        <v>2</v>
      </c>
      <c r="J17" s="4">
        <v>28</v>
      </c>
      <c r="K17" s="6">
        <v>1029.7</v>
      </c>
      <c r="L17" s="6">
        <v>14.7</v>
      </c>
      <c r="M17" s="4">
        <v>2.5</v>
      </c>
      <c r="N17" s="8">
        <v>37.444800000000001</v>
      </c>
      <c r="O17" s="8">
        <v>19.688099999999999</v>
      </c>
      <c r="P17" s="8">
        <f t="shared" si="0"/>
        <v>57.132899999999999</v>
      </c>
      <c r="Q17" s="8"/>
      <c r="R17" s="1">
        <v>43.04</v>
      </c>
      <c r="S17" s="1">
        <v>22.63</v>
      </c>
      <c r="T17" s="8">
        <v>65.67</v>
      </c>
      <c r="U17" s="4" t="s">
        <v>219</v>
      </c>
      <c r="V17" s="4" t="s">
        <v>224</v>
      </c>
      <c r="W17" s="4" t="s">
        <v>232</v>
      </c>
      <c r="X17" s="4" t="s">
        <v>232</v>
      </c>
    </row>
    <row r="18" spans="1:24" s="4" customFormat="1" x14ac:dyDescent="0.25">
      <c r="A18" s="4" t="s">
        <v>19</v>
      </c>
      <c r="B18" s="4">
        <v>2019</v>
      </c>
      <c r="C18" s="4" t="s">
        <v>18</v>
      </c>
      <c r="D18" s="4" t="s">
        <v>186</v>
      </c>
      <c r="E18" s="4">
        <v>6</v>
      </c>
      <c r="F18" s="4">
        <v>2</v>
      </c>
      <c r="G18" s="4">
        <v>54</v>
      </c>
      <c r="H18" s="4">
        <v>30</v>
      </c>
      <c r="I18" s="4">
        <v>1.5</v>
      </c>
      <c r="J18" s="4">
        <v>27</v>
      </c>
      <c r="K18" s="6">
        <v>1202.0999999999999</v>
      </c>
      <c r="L18" s="6">
        <v>15.9</v>
      </c>
      <c r="M18" s="4">
        <v>2</v>
      </c>
      <c r="N18" s="8">
        <v>36.139800000000001</v>
      </c>
      <c r="O18" s="8">
        <v>20.8278</v>
      </c>
      <c r="P18" s="8">
        <f t="shared" si="0"/>
        <v>56.967600000000004</v>
      </c>
      <c r="Q18" s="8"/>
      <c r="R18" s="1">
        <v>41.54</v>
      </c>
      <c r="S18" s="1">
        <v>23.94</v>
      </c>
      <c r="T18" s="8">
        <v>65.48</v>
      </c>
      <c r="U18" s="4" t="s">
        <v>219</v>
      </c>
      <c r="V18" s="4" t="s">
        <v>224</v>
      </c>
      <c r="W18" s="4" t="s">
        <v>232</v>
      </c>
      <c r="X18" s="4" t="s">
        <v>232</v>
      </c>
    </row>
    <row r="19" spans="1:24" s="4" customFormat="1" x14ac:dyDescent="0.25">
      <c r="A19" s="4" t="s">
        <v>19</v>
      </c>
      <c r="B19" s="4">
        <v>2019</v>
      </c>
      <c r="C19" s="4" t="s">
        <v>18</v>
      </c>
      <c r="D19" s="4" t="s">
        <v>186</v>
      </c>
      <c r="E19" s="4">
        <v>6</v>
      </c>
      <c r="F19" s="4">
        <v>3</v>
      </c>
      <c r="G19" s="4">
        <v>106</v>
      </c>
      <c r="I19" s="4" t="s">
        <v>232</v>
      </c>
      <c r="J19" s="4" t="s">
        <v>232</v>
      </c>
      <c r="K19" s="6">
        <v>1222.8</v>
      </c>
      <c r="L19" s="6">
        <v>15.8</v>
      </c>
      <c r="M19" s="4">
        <v>2.5</v>
      </c>
      <c r="N19" s="8">
        <v>37.801500000000004</v>
      </c>
      <c r="O19" s="8">
        <v>18.948600000000003</v>
      </c>
      <c r="P19" s="8">
        <f t="shared" si="0"/>
        <v>56.750100000000003</v>
      </c>
      <c r="Q19" s="8"/>
      <c r="R19" s="1">
        <v>43.45</v>
      </c>
      <c r="S19" s="1">
        <v>21.78</v>
      </c>
      <c r="T19" s="8">
        <v>65.23</v>
      </c>
      <c r="U19" s="4" t="s">
        <v>219</v>
      </c>
      <c r="V19" s="4" t="s">
        <v>224</v>
      </c>
      <c r="W19" s="4" t="s">
        <v>232</v>
      </c>
      <c r="X19" s="4" t="s">
        <v>230</v>
      </c>
    </row>
    <row r="20" spans="1:24" s="4" customFormat="1" x14ac:dyDescent="0.25">
      <c r="A20" s="5" t="s">
        <v>19</v>
      </c>
      <c r="B20" s="5">
        <v>2019</v>
      </c>
      <c r="C20" s="5" t="s">
        <v>18</v>
      </c>
      <c r="D20" s="5" t="s">
        <v>138</v>
      </c>
      <c r="E20" s="5">
        <v>7</v>
      </c>
      <c r="F20" s="5">
        <v>1</v>
      </c>
      <c r="G20" s="5">
        <v>38</v>
      </c>
      <c r="H20" s="4">
        <v>32</v>
      </c>
      <c r="I20" s="4">
        <v>1</v>
      </c>
      <c r="J20" s="4">
        <v>24</v>
      </c>
      <c r="K20" s="6">
        <v>1128.5</v>
      </c>
      <c r="L20" s="6">
        <v>15.9</v>
      </c>
      <c r="M20" s="4">
        <v>1.5</v>
      </c>
      <c r="N20" s="8">
        <v>39.158699999999996</v>
      </c>
      <c r="O20" s="8">
        <v>18.617999999999999</v>
      </c>
      <c r="P20" s="8">
        <f t="shared" si="0"/>
        <v>57.776699999999991</v>
      </c>
      <c r="Q20" s="8"/>
      <c r="R20" s="1">
        <v>45.01</v>
      </c>
      <c r="S20" s="1">
        <v>21.4</v>
      </c>
      <c r="T20" s="8">
        <v>66.41</v>
      </c>
      <c r="U20" s="4" t="s">
        <v>218</v>
      </c>
      <c r="V20" s="4" t="s">
        <v>223</v>
      </c>
      <c r="W20" s="4" t="s">
        <v>232</v>
      </c>
      <c r="X20" s="4" t="s">
        <v>232</v>
      </c>
    </row>
    <row r="21" spans="1:24" s="4" customFormat="1" x14ac:dyDescent="0.25">
      <c r="A21" s="5" t="s">
        <v>19</v>
      </c>
      <c r="B21" s="5">
        <v>2019</v>
      </c>
      <c r="C21" s="5" t="s">
        <v>18</v>
      </c>
      <c r="D21" s="5" t="s">
        <v>138</v>
      </c>
      <c r="E21" s="5">
        <v>7</v>
      </c>
      <c r="F21" s="5">
        <v>2</v>
      </c>
      <c r="G21" s="5">
        <v>78</v>
      </c>
      <c r="H21" s="4">
        <v>34</v>
      </c>
      <c r="I21" s="4">
        <v>1</v>
      </c>
      <c r="J21" s="4">
        <v>25</v>
      </c>
      <c r="K21" s="6">
        <v>694</v>
      </c>
      <c r="L21" s="6">
        <v>16.899999999999999</v>
      </c>
      <c r="M21" s="4">
        <v>3.5</v>
      </c>
      <c r="N21" s="8">
        <v>40.515900000000002</v>
      </c>
      <c r="O21" s="8">
        <v>17.1999</v>
      </c>
      <c r="P21" s="8">
        <f t="shared" si="0"/>
        <v>57.715800000000002</v>
      </c>
      <c r="Q21" s="8"/>
      <c r="R21" s="1">
        <v>46.57</v>
      </c>
      <c r="S21" s="1">
        <v>19.77</v>
      </c>
      <c r="T21" s="8">
        <v>66.34</v>
      </c>
      <c r="U21" s="4" t="s">
        <v>218</v>
      </c>
      <c r="V21" s="4" t="s">
        <v>223</v>
      </c>
      <c r="W21" s="4" t="s">
        <v>232</v>
      </c>
      <c r="X21" s="4" t="s">
        <v>232</v>
      </c>
    </row>
    <row r="22" spans="1:24" s="4" customFormat="1" x14ac:dyDescent="0.25">
      <c r="A22" s="4" t="s">
        <v>19</v>
      </c>
      <c r="B22" s="4">
        <v>2019</v>
      </c>
      <c r="C22" s="4" t="s">
        <v>18</v>
      </c>
      <c r="D22" s="4" t="s">
        <v>138</v>
      </c>
      <c r="E22" s="4">
        <v>7</v>
      </c>
      <c r="F22" s="4">
        <v>3</v>
      </c>
      <c r="G22" s="4">
        <v>146</v>
      </c>
      <c r="I22" s="4" t="s">
        <v>232</v>
      </c>
      <c r="J22" s="4" t="s">
        <v>232</v>
      </c>
      <c r="K22" s="6">
        <v>678.3</v>
      </c>
      <c r="L22" s="6">
        <v>15.5</v>
      </c>
      <c r="M22" s="4">
        <v>1.5</v>
      </c>
      <c r="N22" s="8">
        <v>39.854700000000001</v>
      </c>
      <c r="O22" s="8">
        <v>18.461399999999998</v>
      </c>
      <c r="P22" s="8">
        <f t="shared" si="0"/>
        <v>58.316099999999999</v>
      </c>
      <c r="Q22" s="8"/>
      <c r="R22" s="1">
        <v>45.81</v>
      </c>
      <c r="S22" s="1">
        <v>21.22</v>
      </c>
      <c r="T22" s="8">
        <v>67.03</v>
      </c>
      <c r="U22" s="4" t="s">
        <v>218</v>
      </c>
      <c r="V22" s="4" t="s">
        <v>223</v>
      </c>
      <c r="W22" s="4" t="s">
        <v>232</v>
      </c>
      <c r="X22" s="4" t="s">
        <v>232</v>
      </c>
    </row>
    <row r="23" spans="1:24" s="4" customFormat="1" x14ac:dyDescent="0.25">
      <c r="A23" s="5" t="s">
        <v>19</v>
      </c>
      <c r="B23" s="5">
        <v>2019</v>
      </c>
      <c r="C23" s="5" t="s">
        <v>18</v>
      </c>
      <c r="D23" s="5" t="s">
        <v>68</v>
      </c>
      <c r="E23" s="5">
        <v>8</v>
      </c>
      <c r="F23" s="5">
        <v>1</v>
      </c>
      <c r="G23" s="5">
        <v>39</v>
      </c>
      <c r="H23" s="4">
        <v>33</v>
      </c>
      <c r="I23" s="4">
        <v>1</v>
      </c>
      <c r="J23" s="4">
        <v>24</v>
      </c>
      <c r="K23" s="6">
        <v>1157.4000000000001</v>
      </c>
      <c r="L23" s="6">
        <v>17</v>
      </c>
      <c r="M23" s="4">
        <v>3</v>
      </c>
      <c r="N23" s="8">
        <v>39.619799999999998</v>
      </c>
      <c r="O23" s="8">
        <v>17.904599999999999</v>
      </c>
      <c r="P23" s="8">
        <f t="shared" si="0"/>
        <v>57.5244</v>
      </c>
      <c r="Q23" s="8"/>
      <c r="R23" s="1">
        <v>45.54</v>
      </c>
      <c r="S23" s="1">
        <v>20.58</v>
      </c>
      <c r="T23" s="8">
        <v>66.12</v>
      </c>
      <c r="U23" s="4" t="s">
        <v>218</v>
      </c>
      <c r="V23" s="4" t="s">
        <v>223</v>
      </c>
      <c r="W23" s="4" t="s">
        <v>232</v>
      </c>
      <c r="X23" s="4" t="s">
        <v>230</v>
      </c>
    </row>
    <row r="24" spans="1:24" s="4" customFormat="1" x14ac:dyDescent="0.25">
      <c r="A24" s="5" t="s">
        <v>19</v>
      </c>
      <c r="B24" s="5">
        <v>2019</v>
      </c>
      <c r="C24" s="5" t="s">
        <v>18</v>
      </c>
      <c r="D24" s="5" t="s">
        <v>68</v>
      </c>
      <c r="E24" s="5">
        <v>8</v>
      </c>
      <c r="F24" s="5">
        <v>2</v>
      </c>
      <c r="G24" s="5">
        <v>68</v>
      </c>
      <c r="H24" s="4">
        <v>32</v>
      </c>
      <c r="I24" s="4">
        <v>1</v>
      </c>
      <c r="J24" s="4">
        <v>22</v>
      </c>
      <c r="K24" s="6">
        <v>1184.7</v>
      </c>
      <c r="L24" s="6">
        <v>15.5</v>
      </c>
      <c r="M24" s="4">
        <v>2</v>
      </c>
      <c r="N24" s="8">
        <v>38.593199999999996</v>
      </c>
      <c r="O24" s="8">
        <v>19.2531</v>
      </c>
      <c r="P24" s="8">
        <f t="shared" si="0"/>
        <v>57.846299999999999</v>
      </c>
      <c r="Q24" s="8"/>
      <c r="R24" s="1">
        <v>44.36</v>
      </c>
      <c r="S24" s="1">
        <v>22.13</v>
      </c>
      <c r="T24" s="8">
        <v>66.489999999999995</v>
      </c>
      <c r="U24" s="4" t="s">
        <v>218</v>
      </c>
      <c r="V24" s="4" t="s">
        <v>223</v>
      </c>
      <c r="W24" s="4" t="s">
        <v>232</v>
      </c>
      <c r="X24" s="4" t="s">
        <v>232</v>
      </c>
    </row>
    <row r="25" spans="1:24" s="4" customFormat="1" x14ac:dyDescent="0.25">
      <c r="A25" s="5" t="s">
        <v>19</v>
      </c>
      <c r="B25" s="5">
        <v>2019</v>
      </c>
      <c r="C25" s="5" t="s">
        <v>18</v>
      </c>
      <c r="D25" s="5" t="s">
        <v>68</v>
      </c>
      <c r="E25" s="5">
        <v>8</v>
      </c>
      <c r="F25" s="5">
        <v>3</v>
      </c>
      <c r="G25" s="5">
        <v>141</v>
      </c>
      <c r="I25" s="4" t="s">
        <v>232</v>
      </c>
      <c r="J25" s="4" t="s">
        <v>232</v>
      </c>
      <c r="K25" s="6">
        <v>1010.7</v>
      </c>
      <c r="L25" s="6">
        <v>15.6</v>
      </c>
      <c r="M25" s="4">
        <v>2</v>
      </c>
      <c r="N25" s="8">
        <v>38.132100000000001</v>
      </c>
      <c r="O25" s="8">
        <v>19.348799999999997</v>
      </c>
      <c r="P25" s="8">
        <f t="shared" si="0"/>
        <v>57.480899999999998</v>
      </c>
      <c r="Q25" s="8"/>
      <c r="R25" s="1">
        <v>43.83</v>
      </c>
      <c r="S25" s="1">
        <v>22.24</v>
      </c>
      <c r="T25" s="8">
        <v>66.069999999999993</v>
      </c>
      <c r="U25" s="4" t="s">
        <v>218</v>
      </c>
      <c r="V25" s="4" t="s">
        <v>223</v>
      </c>
      <c r="W25" s="4" t="s">
        <v>232</v>
      </c>
      <c r="X25" s="4" t="s">
        <v>232</v>
      </c>
    </row>
    <row r="26" spans="1:24" s="4" customFormat="1" x14ac:dyDescent="0.25">
      <c r="A26" s="5" t="s">
        <v>19</v>
      </c>
      <c r="B26" s="5">
        <v>2019</v>
      </c>
      <c r="C26" s="5" t="s">
        <v>18</v>
      </c>
      <c r="D26" s="5" t="s">
        <v>91</v>
      </c>
      <c r="E26" s="5">
        <v>9</v>
      </c>
      <c r="F26" s="5">
        <v>1</v>
      </c>
      <c r="G26" s="5">
        <v>3</v>
      </c>
      <c r="H26" s="4">
        <v>30</v>
      </c>
      <c r="I26" s="4">
        <v>1.5</v>
      </c>
      <c r="J26" s="4">
        <v>26</v>
      </c>
      <c r="K26" s="6">
        <v>1147</v>
      </c>
      <c r="L26" s="6">
        <v>15</v>
      </c>
      <c r="M26" s="4">
        <v>2.5</v>
      </c>
      <c r="N26" s="8">
        <v>36.522599999999997</v>
      </c>
      <c r="O26" s="8">
        <v>19.7316</v>
      </c>
      <c r="P26" s="8">
        <f t="shared" si="0"/>
        <v>56.254199999999997</v>
      </c>
      <c r="Q26" s="8"/>
      <c r="R26" s="1">
        <v>41.98</v>
      </c>
      <c r="S26" s="1">
        <v>22.68</v>
      </c>
      <c r="T26" s="8">
        <v>64.66</v>
      </c>
      <c r="U26" s="4" t="s">
        <v>218</v>
      </c>
      <c r="V26" s="4" t="s">
        <v>223</v>
      </c>
      <c r="W26" s="4" t="s">
        <v>232</v>
      </c>
      <c r="X26" s="4" t="s">
        <v>232</v>
      </c>
    </row>
    <row r="27" spans="1:24" s="4" customFormat="1" x14ac:dyDescent="0.25">
      <c r="A27" s="5" t="s">
        <v>19</v>
      </c>
      <c r="B27" s="5">
        <v>2019</v>
      </c>
      <c r="C27" s="5" t="s">
        <v>18</v>
      </c>
      <c r="D27" s="5" t="s">
        <v>91</v>
      </c>
      <c r="E27" s="5">
        <v>9</v>
      </c>
      <c r="F27" s="5">
        <v>2</v>
      </c>
      <c r="G27" s="5">
        <v>82</v>
      </c>
      <c r="H27" s="4">
        <v>30</v>
      </c>
      <c r="I27" s="4">
        <v>1.5</v>
      </c>
      <c r="J27" s="4">
        <v>22</v>
      </c>
      <c r="K27" s="6">
        <v>1340.1</v>
      </c>
      <c r="L27" s="6">
        <v>16.8</v>
      </c>
      <c r="M27" s="4">
        <v>2.5</v>
      </c>
      <c r="N27" s="8">
        <v>36.835800000000006</v>
      </c>
      <c r="O27" s="8">
        <v>19.061699999999998</v>
      </c>
      <c r="P27" s="8">
        <f t="shared" si="0"/>
        <v>55.897500000000008</v>
      </c>
      <c r="Q27" s="8"/>
      <c r="R27" s="1">
        <v>42.34</v>
      </c>
      <c r="S27" s="1">
        <v>21.91</v>
      </c>
      <c r="T27" s="8">
        <v>64.25</v>
      </c>
      <c r="U27" s="4" t="s">
        <v>218</v>
      </c>
      <c r="V27" s="4" t="s">
        <v>223</v>
      </c>
      <c r="W27" s="4" t="s">
        <v>232</v>
      </c>
      <c r="X27" s="4" t="s">
        <v>232</v>
      </c>
    </row>
    <row r="28" spans="1:24" s="4" customFormat="1" x14ac:dyDescent="0.25">
      <c r="A28" s="4" t="s">
        <v>19</v>
      </c>
      <c r="B28" s="4">
        <v>2019</v>
      </c>
      <c r="C28" s="4" t="s">
        <v>18</v>
      </c>
      <c r="D28" s="4" t="s">
        <v>91</v>
      </c>
      <c r="E28" s="4">
        <v>9</v>
      </c>
      <c r="F28" s="4">
        <v>3</v>
      </c>
      <c r="G28" s="4">
        <v>107</v>
      </c>
      <c r="I28" s="4" t="s">
        <v>232</v>
      </c>
      <c r="J28" s="4" t="s">
        <v>232</v>
      </c>
      <c r="K28" s="6">
        <v>1190.5</v>
      </c>
      <c r="L28" s="6">
        <v>15.1</v>
      </c>
      <c r="M28" s="4">
        <v>2.5</v>
      </c>
      <c r="N28" s="8">
        <v>38.0364</v>
      </c>
      <c r="O28" s="8">
        <v>19.052999999999997</v>
      </c>
      <c r="P28" s="8">
        <f t="shared" si="0"/>
        <v>57.089399999999998</v>
      </c>
      <c r="Q28" s="8"/>
      <c r="R28" s="1">
        <v>43.72</v>
      </c>
      <c r="S28" s="1">
        <v>21.9</v>
      </c>
      <c r="T28" s="8">
        <v>65.62</v>
      </c>
      <c r="U28" s="4" t="s">
        <v>218</v>
      </c>
      <c r="V28" s="4" t="s">
        <v>223</v>
      </c>
      <c r="W28" s="4" t="s">
        <v>232</v>
      </c>
      <c r="X28" s="4" t="s">
        <v>232</v>
      </c>
    </row>
    <row r="29" spans="1:24" s="4" customFormat="1" x14ac:dyDescent="0.25">
      <c r="A29" s="4" t="s">
        <v>19</v>
      </c>
      <c r="B29" s="4">
        <v>2019</v>
      </c>
      <c r="C29" s="4" t="s">
        <v>18</v>
      </c>
      <c r="D29" s="4" t="s">
        <v>133</v>
      </c>
      <c r="E29" s="4">
        <v>10</v>
      </c>
      <c r="F29" s="4">
        <v>1</v>
      </c>
      <c r="G29" s="4">
        <v>35</v>
      </c>
      <c r="H29" s="4">
        <v>30</v>
      </c>
      <c r="I29" s="4">
        <v>1.5</v>
      </c>
      <c r="J29" s="4">
        <v>26</v>
      </c>
      <c r="K29" s="6">
        <v>1278.2</v>
      </c>
      <c r="L29" s="6">
        <v>16.399999999999999</v>
      </c>
      <c r="M29" s="4">
        <v>2.5</v>
      </c>
      <c r="N29" s="8">
        <v>37.540500000000002</v>
      </c>
      <c r="O29" s="8">
        <v>19.2879</v>
      </c>
      <c r="P29" s="8">
        <f t="shared" si="0"/>
        <v>56.828400000000002</v>
      </c>
      <c r="Q29" s="8"/>
      <c r="R29" s="1">
        <v>43.15</v>
      </c>
      <c r="S29" s="1">
        <v>22.17</v>
      </c>
      <c r="T29" s="8">
        <v>65.319999999999993</v>
      </c>
      <c r="U29" s="4" t="s">
        <v>218</v>
      </c>
      <c r="V29" s="4" t="s">
        <v>223</v>
      </c>
      <c r="W29" s="4" t="s">
        <v>232</v>
      </c>
      <c r="X29" s="4" t="s">
        <v>232</v>
      </c>
    </row>
    <row r="30" spans="1:24" s="4" customFormat="1" x14ac:dyDescent="0.25">
      <c r="A30" s="5" t="s">
        <v>19</v>
      </c>
      <c r="B30" s="5">
        <v>2019</v>
      </c>
      <c r="C30" s="5" t="s">
        <v>18</v>
      </c>
      <c r="D30" s="5" t="s">
        <v>133</v>
      </c>
      <c r="E30" s="5">
        <v>10</v>
      </c>
      <c r="F30" s="5">
        <v>2</v>
      </c>
      <c r="G30" s="5">
        <v>73</v>
      </c>
      <c r="H30" s="4">
        <v>30</v>
      </c>
      <c r="I30" s="4">
        <v>1.5</v>
      </c>
      <c r="J30" s="4">
        <v>24</v>
      </c>
      <c r="K30" s="6">
        <v>1147</v>
      </c>
      <c r="L30" s="6">
        <v>16</v>
      </c>
      <c r="M30" s="4">
        <v>2.5</v>
      </c>
      <c r="N30" s="8">
        <v>37.862400000000001</v>
      </c>
      <c r="O30" s="8">
        <v>19.0443</v>
      </c>
      <c r="P30" s="8">
        <f t="shared" si="0"/>
        <v>56.906700000000001</v>
      </c>
      <c r="Q30" s="8"/>
      <c r="R30" s="1">
        <v>43.52</v>
      </c>
      <c r="S30" s="1">
        <v>21.89</v>
      </c>
      <c r="T30" s="8">
        <v>65.41</v>
      </c>
      <c r="U30" s="4" t="s">
        <v>218</v>
      </c>
      <c r="V30" s="4" t="s">
        <v>223</v>
      </c>
      <c r="W30" s="4" t="s">
        <v>232</v>
      </c>
      <c r="X30" s="4" t="s">
        <v>232</v>
      </c>
    </row>
    <row r="31" spans="1:24" s="4" customFormat="1" x14ac:dyDescent="0.25">
      <c r="A31" s="5" t="s">
        <v>19</v>
      </c>
      <c r="B31" s="5">
        <v>2019</v>
      </c>
      <c r="C31" s="5" t="s">
        <v>18</v>
      </c>
      <c r="D31" s="5" t="s">
        <v>133</v>
      </c>
      <c r="E31" s="5">
        <v>10</v>
      </c>
      <c r="F31" s="5">
        <v>3</v>
      </c>
      <c r="G31" s="5">
        <v>134</v>
      </c>
      <c r="I31" s="4" t="s">
        <v>232</v>
      </c>
      <c r="J31" s="4" t="s">
        <v>232</v>
      </c>
      <c r="K31" s="6">
        <v>1027.5999999999999</v>
      </c>
      <c r="L31" s="6">
        <v>15.7</v>
      </c>
      <c r="M31" s="4">
        <v>2.5</v>
      </c>
      <c r="N31" s="8">
        <v>37.653599999999997</v>
      </c>
      <c r="O31" s="8">
        <v>18.878999999999998</v>
      </c>
      <c r="P31" s="8">
        <f t="shared" si="0"/>
        <v>56.532599999999995</v>
      </c>
      <c r="Q31" s="8"/>
      <c r="R31" s="1">
        <v>43.28</v>
      </c>
      <c r="S31" s="1">
        <v>21.7</v>
      </c>
      <c r="T31" s="8">
        <v>64.98</v>
      </c>
      <c r="U31" s="4" t="s">
        <v>218</v>
      </c>
      <c r="V31" s="4" t="s">
        <v>223</v>
      </c>
      <c r="W31" s="4" t="s">
        <v>232</v>
      </c>
      <c r="X31" s="4" t="s">
        <v>232</v>
      </c>
    </row>
    <row r="32" spans="1:24" s="4" customFormat="1" x14ac:dyDescent="0.25">
      <c r="A32" s="5" t="s">
        <v>19</v>
      </c>
      <c r="B32" s="5">
        <v>2019</v>
      </c>
      <c r="C32" s="5" t="s">
        <v>18</v>
      </c>
      <c r="D32" s="5" t="s">
        <v>82</v>
      </c>
      <c r="E32" s="5">
        <v>11</v>
      </c>
      <c r="F32" s="5">
        <v>1</v>
      </c>
      <c r="G32" s="5">
        <v>2</v>
      </c>
      <c r="H32" s="4">
        <v>30</v>
      </c>
      <c r="I32" s="4">
        <v>1.5</v>
      </c>
      <c r="J32" s="4">
        <v>24</v>
      </c>
      <c r="K32" s="6">
        <v>1219</v>
      </c>
      <c r="L32" s="6">
        <v>16.3</v>
      </c>
      <c r="M32" s="4">
        <v>2.5</v>
      </c>
      <c r="N32" s="8">
        <v>36.853200000000001</v>
      </c>
      <c r="O32" s="8">
        <v>19.592399999999998</v>
      </c>
      <c r="P32" s="8">
        <f t="shared" si="0"/>
        <v>56.445599999999999</v>
      </c>
      <c r="Q32" s="8"/>
      <c r="R32" s="1">
        <v>42.36</v>
      </c>
      <c r="S32" s="1">
        <v>22.52</v>
      </c>
      <c r="T32" s="8">
        <v>64.88</v>
      </c>
      <c r="U32" s="4" t="s">
        <v>218</v>
      </c>
      <c r="V32" s="4" t="s">
        <v>223</v>
      </c>
      <c r="W32" s="4" t="s">
        <v>232</v>
      </c>
      <c r="X32" s="4" t="s">
        <v>232</v>
      </c>
    </row>
    <row r="33" spans="1:24" s="4" customFormat="1" x14ac:dyDescent="0.25">
      <c r="A33" s="5" t="s">
        <v>19</v>
      </c>
      <c r="B33" s="5">
        <v>2019</v>
      </c>
      <c r="C33" s="5" t="s">
        <v>18</v>
      </c>
      <c r="D33" s="5" t="s">
        <v>82</v>
      </c>
      <c r="E33" s="5">
        <v>11</v>
      </c>
      <c r="F33" s="5">
        <v>2</v>
      </c>
      <c r="G33" s="5">
        <v>92</v>
      </c>
      <c r="H33" s="4">
        <v>31</v>
      </c>
      <c r="I33" s="4">
        <v>2</v>
      </c>
      <c r="J33" s="4">
        <v>32</v>
      </c>
      <c r="K33" s="6">
        <v>1317.4</v>
      </c>
      <c r="L33" s="6">
        <v>16.8</v>
      </c>
      <c r="M33" s="4">
        <v>2</v>
      </c>
      <c r="N33" s="8">
        <v>38.219099999999997</v>
      </c>
      <c r="O33" s="8">
        <v>19.000799999999998</v>
      </c>
      <c r="P33" s="8">
        <f t="shared" si="0"/>
        <v>57.219899999999996</v>
      </c>
      <c r="Q33" s="8"/>
      <c r="R33" s="1">
        <v>43.93</v>
      </c>
      <c r="S33" s="1">
        <v>21.84</v>
      </c>
      <c r="T33" s="8">
        <v>65.77</v>
      </c>
      <c r="U33" s="4" t="s">
        <v>218</v>
      </c>
      <c r="V33" s="4" t="s">
        <v>223</v>
      </c>
      <c r="W33" s="4" t="s">
        <v>232</v>
      </c>
      <c r="X33" s="4" t="s">
        <v>232</v>
      </c>
    </row>
    <row r="34" spans="1:24" s="4" customFormat="1" x14ac:dyDescent="0.25">
      <c r="A34" s="4" t="s">
        <v>19</v>
      </c>
      <c r="B34" s="4">
        <v>2019</v>
      </c>
      <c r="C34" s="4" t="s">
        <v>18</v>
      </c>
      <c r="D34" s="4" t="s">
        <v>82</v>
      </c>
      <c r="E34" s="4">
        <v>11</v>
      </c>
      <c r="F34" s="4">
        <v>3</v>
      </c>
      <c r="G34" s="4">
        <v>115</v>
      </c>
      <c r="I34" s="4" t="s">
        <v>232</v>
      </c>
      <c r="J34" s="4" t="s">
        <v>232</v>
      </c>
      <c r="K34" s="6">
        <v>1221.4000000000001</v>
      </c>
      <c r="L34" s="6">
        <v>15.7</v>
      </c>
      <c r="M34" s="4">
        <v>2.5</v>
      </c>
      <c r="N34" s="8">
        <v>36.809699999999999</v>
      </c>
      <c r="O34" s="8">
        <v>19.000799999999998</v>
      </c>
      <c r="P34" s="8">
        <f t="shared" si="0"/>
        <v>55.810499999999998</v>
      </c>
      <c r="Q34" s="8"/>
      <c r="R34" s="1">
        <v>42.31</v>
      </c>
      <c r="S34" s="1">
        <v>21.84</v>
      </c>
      <c r="T34" s="8">
        <v>64.150000000000006</v>
      </c>
      <c r="U34" s="4" t="s">
        <v>218</v>
      </c>
      <c r="V34" s="4" t="s">
        <v>223</v>
      </c>
      <c r="W34" s="4" t="s">
        <v>232</v>
      </c>
      <c r="X34" s="4" t="s">
        <v>232</v>
      </c>
    </row>
    <row r="35" spans="1:24" s="4" customFormat="1" x14ac:dyDescent="0.25">
      <c r="A35" s="4" t="s">
        <v>19</v>
      </c>
      <c r="B35" s="4">
        <v>2019</v>
      </c>
      <c r="C35" s="4" t="s">
        <v>18</v>
      </c>
      <c r="D35" s="4" t="s">
        <v>35</v>
      </c>
      <c r="E35" s="4">
        <v>12</v>
      </c>
      <c r="F35" s="4">
        <v>1</v>
      </c>
      <c r="G35" s="4">
        <v>14</v>
      </c>
      <c r="H35" s="4">
        <v>32</v>
      </c>
      <c r="I35" s="4">
        <v>1.5</v>
      </c>
      <c r="J35" s="4">
        <v>26</v>
      </c>
      <c r="K35" s="6">
        <v>1119.8</v>
      </c>
      <c r="L35" s="6">
        <v>14.3</v>
      </c>
      <c r="M35" s="4">
        <v>2.5</v>
      </c>
      <c r="N35" s="8">
        <v>37.557900000000004</v>
      </c>
      <c r="O35" s="8">
        <v>19.705499999999997</v>
      </c>
      <c r="P35" s="8">
        <f t="shared" si="0"/>
        <v>57.263400000000004</v>
      </c>
      <c r="Q35" s="8"/>
      <c r="R35" s="1">
        <v>43.17</v>
      </c>
      <c r="S35" s="1">
        <v>22.65</v>
      </c>
      <c r="T35" s="8">
        <v>65.819999999999993</v>
      </c>
      <c r="U35" s="4" t="s">
        <v>218</v>
      </c>
      <c r="V35" s="4" t="s">
        <v>223</v>
      </c>
      <c r="W35" s="4" t="s">
        <v>232</v>
      </c>
      <c r="X35" s="4" t="s">
        <v>232</v>
      </c>
    </row>
    <row r="36" spans="1:24" s="4" customFormat="1" x14ac:dyDescent="0.25">
      <c r="A36" s="5" t="s">
        <v>19</v>
      </c>
      <c r="B36" s="5">
        <v>2019</v>
      </c>
      <c r="C36" s="5" t="s">
        <v>18</v>
      </c>
      <c r="D36" s="5" t="s">
        <v>35</v>
      </c>
      <c r="E36" s="5">
        <v>12</v>
      </c>
      <c r="F36" s="5">
        <v>2</v>
      </c>
      <c r="G36" s="5">
        <v>79</v>
      </c>
      <c r="H36" s="4">
        <v>31</v>
      </c>
      <c r="I36" s="4">
        <v>1.5</v>
      </c>
      <c r="J36" s="4">
        <v>27</v>
      </c>
      <c r="K36" s="6">
        <v>1235.9000000000001</v>
      </c>
      <c r="L36" s="6">
        <v>16.399999999999999</v>
      </c>
      <c r="M36" s="4">
        <v>2.5</v>
      </c>
      <c r="N36" s="8">
        <v>38.314799999999998</v>
      </c>
      <c r="O36" s="8">
        <v>18.6615</v>
      </c>
      <c r="P36" s="8">
        <f t="shared" si="0"/>
        <v>56.976299999999995</v>
      </c>
      <c r="Q36" s="8"/>
      <c r="R36" s="1">
        <v>44.04</v>
      </c>
      <c r="S36" s="1">
        <v>21.45</v>
      </c>
      <c r="T36" s="8">
        <v>65.489999999999995</v>
      </c>
      <c r="U36" s="4" t="s">
        <v>218</v>
      </c>
      <c r="V36" s="4" t="s">
        <v>223</v>
      </c>
      <c r="W36" s="4" t="s">
        <v>232</v>
      </c>
      <c r="X36" s="4" t="s">
        <v>232</v>
      </c>
    </row>
    <row r="37" spans="1:24" s="4" customFormat="1" x14ac:dyDescent="0.25">
      <c r="A37" s="5" t="s">
        <v>19</v>
      </c>
      <c r="B37" s="5">
        <v>2019</v>
      </c>
      <c r="C37" s="5" t="s">
        <v>18</v>
      </c>
      <c r="D37" s="5" t="s">
        <v>35</v>
      </c>
      <c r="E37" s="5">
        <v>12</v>
      </c>
      <c r="F37" s="5">
        <v>3</v>
      </c>
      <c r="G37" s="5">
        <v>111</v>
      </c>
      <c r="I37" s="4" t="s">
        <v>232</v>
      </c>
      <c r="J37" s="4" t="s">
        <v>232</v>
      </c>
      <c r="K37" s="6">
        <v>1015.5</v>
      </c>
      <c r="L37" s="6">
        <v>17.399999999999999</v>
      </c>
      <c r="M37" s="4">
        <v>3</v>
      </c>
      <c r="N37" s="8">
        <v>39.210900000000002</v>
      </c>
      <c r="O37" s="8">
        <v>19.061699999999998</v>
      </c>
      <c r="P37" s="8">
        <f t="shared" si="0"/>
        <v>58.272599999999997</v>
      </c>
      <c r="Q37" s="8"/>
      <c r="R37" s="1">
        <v>45.07</v>
      </c>
      <c r="S37" s="1">
        <v>21.91</v>
      </c>
      <c r="T37" s="8">
        <v>66.98</v>
      </c>
      <c r="U37" s="4" t="s">
        <v>218</v>
      </c>
      <c r="V37" s="4" t="s">
        <v>223</v>
      </c>
      <c r="W37" s="4" t="s">
        <v>232</v>
      </c>
      <c r="X37" s="4" t="s">
        <v>232</v>
      </c>
    </row>
    <row r="38" spans="1:24" s="4" customFormat="1" x14ac:dyDescent="0.25">
      <c r="A38" s="5" t="s">
        <v>19</v>
      </c>
      <c r="B38" s="5">
        <v>2019</v>
      </c>
      <c r="C38" s="5" t="s">
        <v>18</v>
      </c>
      <c r="D38" s="5" t="s">
        <v>25</v>
      </c>
      <c r="E38" s="5">
        <v>13</v>
      </c>
      <c r="F38" s="5">
        <v>1</v>
      </c>
      <c r="G38" s="5">
        <v>10</v>
      </c>
      <c r="H38" s="4">
        <v>33</v>
      </c>
      <c r="I38" s="4">
        <v>1.5</v>
      </c>
      <c r="J38" s="4">
        <v>24</v>
      </c>
      <c r="K38" s="6">
        <v>1026.9000000000001</v>
      </c>
      <c r="L38" s="6">
        <v>17.2</v>
      </c>
      <c r="M38" s="4">
        <v>2</v>
      </c>
      <c r="N38" s="8">
        <v>37.366500000000002</v>
      </c>
      <c r="O38" s="8">
        <v>19.296599999999998</v>
      </c>
      <c r="P38" s="8">
        <f t="shared" si="0"/>
        <v>56.6631</v>
      </c>
      <c r="Q38" s="8"/>
      <c r="R38" s="1">
        <v>42.95</v>
      </c>
      <c r="S38" s="1">
        <v>22.18</v>
      </c>
      <c r="T38" s="8">
        <v>65.13</v>
      </c>
      <c r="U38" s="4" t="s">
        <v>218</v>
      </c>
      <c r="V38" s="4" t="s">
        <v>223</v>
      </c>
      <c r="W38" s="4" t="s">
        <v>232</v>
      </c>
      <c r="X38" s="4" t="s">
        <v>232</v>
      </c>
    </row>
    <row r="39" spans="1:24" s="4" customFormat="1" x14ac:dyDescent="0.25">
      <c r="A39" s="4" t="s">
        <v>19</v>
      </c>
      <c r="B39" s="4">
        <v>2019</v>
      </c>
      <c r="C39" s="4" t="s">
        <v>18</v>
      </c>
      <c r="D39" s="4" t="s">
        <v>25</v>
      </c>
      <c r="E39" s="4">
        <v>13</v>
      </c>
      <c r="F39" s="4">
        <v>2</v>
      </c>
      <c r="G39" s="4">
        <v>74</v>
      </c>
      <c r="H39" s="4">
        <v>31</v>
      </c>
      <c r="I39" s="4">
        <v>1</v>
      </c>
      <c r="J39" s="4">
        <v>22</v>
      </c>
      <c r="K39" s="6">
        <v>1231.0999999999999</v>
      </c>
      <c r="L39" s="6">
        <v>17.399999999999999</v>
      </c>
      <c r="M39" s="4">
        <v>2</v>
      </c>
      <c r="N39" s="8">
        <v>38.680199999999999</v>
      </c>
      <c r="O39" s="8">
        <v>18.8703</v>
      </c>
      <c r="P39" s="8">
        <f t="shared" si="0"/>
        <v>57.5505</v>
      </c>
      <c r="Q39" s="8"/>
      <c r="R39" s="1">
        <v>44.46</v>
      </c>
      <c r="S39" s="1">
        <v>21.69</v>
      </c>
      <c r="T39" s="8">
        <v>66.150000000000006</v>
      </c>
      <c r="U39" s="4" t="s">
        <v>218</v>
      </c>
      <c r="V39" s="4" t="s">
        <v>223</v>
      </c>
      <c r="W39" s="4" t="s">
        <v>232</v>
      </c>
      <c r="X39" s="4" t="s">
        <v>232</v>
      </c>
    </row>
    <row r="40" spans="1:24" s="4" customFormat="1" x14ac:dyDescent="0.25">
      <c r="A40" s="5" t="s">
        <v>19</v>
      </c>
      <c r="B40" s="5">
        <v>2019</v>
      </c>
      <c r="C40" s="5" t="s">
        <v>18</v>
      </c>
      <c r="D40" s="5" t="s">
        <v>25</v>
      </c>
      <c r="E40" s="5">
        <v>13</v>
      </c>
      <c r="F40" s="5">
        <v>3</v>
      </c>
      <c r="G40" s="5">
        <v>118</v>
      </c>
      <c r="I40" s="4" t="s">
        <v>232</v>
      </c>
      <c r="J40" s="4" t="s">
        <v>232</v>
      </c>
      <c r="K40" s="6">
        <v>968.4</v>
      </c>
      <c r="L40" s="6">
        <v>16.899999999999999</v>
      </c>
      <c r="M40" s="4">
        <v>2.5</v>
      </c>
      <c r="N40" s="8">
        <v>39.254399999999997</v>
      </c>
      <c r="O40" s="8">
        <v>18.4527</v>
      </c>
      <c r="P40" s="8">
        <f t="shared" si="0"/>
        <v>57.707099999999997</v>
      </c>
      <c r="Q40" s="8"/>
      <c r="R40" s="1">
        <v>45.12</v>
      </c>
      <c r="S40" s="1">
        <v>21.21</v>
      </c>
      <c r="T40" s="8">
        <v>66.33</v>
      </c>
      <c r="U40" s="4" t="s">
        <v>218</v>
      </c>
      <c r="V40" s="4" t="s">
        <v>223</v>
      </c>
      <c r="W40" s="4" t="s">
        <v>232</v>
      </c>
      <c r="X40" s="4" t="s">
        <v>232</v>
      </c>
    </row>
    <row r="41" spans="1:24" s="4" customFormat="1" x14ac:dyDescent="0.25">
      <c r="A41" s="5" t="s">
        <v>19</v>
      </c>
      <c r="B41" s="5">
        <v>2019</v>
      </c>
      <c r="C41" s="5" t="s">
        <v>18</v>
      </c>
      <c r="D41" s="5" t="s">
        <v>123</v>
      </c>
      <c r="E41" s="5">
        <v>14</v>
      </c>
      <c r="F41" s="5">
        <v>1</v>
      </c>
      <c r="G41" s="5">
        <v>13</v>
      </c>
      <c r="H41" s="4">
        <v>33</v>
      </c>
      <c r="I41" s="4">
        <v>1.5</v>
      </c>
      <c r="J41" s="4">
        <v>28</v>
      </c>
      <c r="K41" s="6">
        <v>1382.2</v>
      </c>
      <c r="L41" s="6">
        <v>15.8</v>
      </c>
      <c r="M41" s="4">
        <v>2.5</v>
      </c>
      <c r="N41" s="8">
        <v>37.697099999999999</v>
      </c>
      <c r="O41" s="8">
        <v>18.9312</v>
      </c>
      <c r="P41" s="8">
        <f t="shared" si="0"/>
        <v>56.628299999999996</v>
      </c>
      <c r="Q41" s="8"/>
      <c r="R41" s="1">
        <v>43.33</v>
      </c>
      <c r="S41" s="1">
        <v>21.76</v>
      </c>
      <c r="T41" s="8">
        <v>65.09</v>
      </c>
      <c r="U41" s="4" t="s">
        <v>218</v>
      </c>
      <c r="V41" s="4" t="s">
        <v>223</v>
      </c>
      <c r="W41" s="4" t="s">
        <v>232</v>
      </c>
      <c r="X41" s="4" t="s">
        <v>232</v>
      </c>
    </row>
    <row r="42" spans="1:24" s="4" customFormat="1" x14ac:dyDescent="0.25">
      <c r="A42" s="5" t="s">
        <v>19</v>
      </c>
      <c r="B42" s="5">
        <v>2019</v>
      </c>
      <c r="C42" s="5" t="s">
        <v>18</v>
      </c>
      <c r="D42" s="5" t="s">
        <v>123</v>
      </c>
      <c r="E42" s="5">
        <v>14</v>
      </c>
      <c r="F42" s="5">
        <v>2</v>
      </c>
      <c r="G42" s="5">
        <v>58</v>
      </c>
      <c r="H42" s="4">
        <v>31</v>
      </c>
      <c r="I42" s="4">
        <v>1.5</v>
      </c>
      <c r="J42" s="4">
        <v>30</v>
      </c>
      <c r="K42" s="6">
        <v>1157.2</v>
      </c>
      <c r="L42" s="6">
        <v>17.2</v>
      </c>
      <c r="M42" s="4">
        <v>2</v>
      </c>
      <c r="N42" s="8">
        <v>37.366500000000002</v>
      </c>
      <c r="O42" s="8">
        <v>19.1052</v>
      </c>
      <c r="P42" s="8">
        <f t="shared" si="0"/>
        <v>56.471699999999998</v>
      </c>
      <c r="Q42" s="8"/>
      <c r="R42" s="1">
        <v>42.95</v>
      </c>
      <c r="S42" s="1">
        <v>21.96</v>
      </c>
      <c r="T42" s="8">
        <v>64.91</v>
      </c>
      <c r="U42" s="4" t="s">
        <v>218</v>
      </c>
      <c r="V42" s="4" t="s">
        <v>223</v>
      </c>
      <c r="W42" s="4" t="s">
        <v>232</v>
      </c>
      <c r="X42" s="4" t="s">
        <v>232</v>
      </c>
    </row>
    <row r="43" spans="1:24" s="4" customFormat="1" x14ac:dyDescent="0.25">
      <c r="A43" s="5" t="s">
        <v>19</v>
      </c>
      <c r="B43" s="5">
        <v>2019</v>
      </c>
      <c r="C43" s="5" t="s">
        <v>18</v>
      </c>
      <c r="D43" s="5" t="s">
        <v>123</v>
      </c>
      <c r="E43" s="5">
        <v>14</v>
      </c>
      <c r="F43" s="5">
        <v>3</v>
      </c>
      <c r="G43" s="5">
        <v>147</v>
      </c>
      <c r="I43" s="4" t="s">
        <v>232</v>
      </c>
      <c r="J43" s="4" t="s">
        <v>232</v>
      </c>
      <c r="K43" s="6">
        <v>713</v>
      </c>
      <c r="L43" s="6">
        <v>16.3</v>
      </c>
      <c r="M43" s="4">
        <v>2</v>
      </c>
      <c r="N43" s="8">
        <v>39.880800000000001</v>
      </c>
      <c r="O43" s="8">
        <v>18.4527</v>
      </c>
      <c r="P43" s="8">
        <f t="shared" si="0"/>
        <v>58.333500000000001</v>
      </c>
      <c r="Q43" s="8"/>
      <c r="R43" s="1">
        <v>45.84</v>
      </c>
      <c r="S43" s="1">
        <v>21.21</v>
      </c>
      <c r="T43" s="8">
        <v>67.050000000000011</v>
      </c>
      <c r="U43" s="4" t="s">
        <v>218</v>
      </c>
      <c r="V43" s="4" t="s">
        <v>223</v>
      </c>
      <c r="W43" s="4" t="s">
        <v>232</v>
      </c>
      <c r="X43" s="4" t="s">
        <v>232</v>
      </c>
    </row>
    <row r="44" spans="1:24" s="4" customFormat="1" x14ac:dyDescent="0.25">
      <c r="A44" s="5" t="s">
        <v>19</v>
      </c>
      <c r="B44" s="5">
        <v>2019</v>
      </c>
      <c r="C44" s="5" t="s">
        <v>18</v>
      </c>
      <c r="D44" s="5" t="s">
        <v>89</v>
      </c>
      <c r="E44" s="5">
        <v>15</v>
      </c>
      <c r="F44" s="5">
        <v>1</v>
      </c>
      <c r="G44" s="5">
        <v>48</v>
      </c>
      <c r="H44" s="4">
        <v>33</v>
      </c>
      <c r="I44" s="4">
        <v>1.5</v>
      </c>
      <c r="J44" s="4">
        <v>28</v>
      </c>
      <c r="K44" s="6">
        <v>1101.7</v>
      </c>
      <c r="L44" s="6">
        <v>20</v>
      </c>
      <c r="M44" s="4">
        <v>1.5</v>
      </c>
      <c r="N44" s="8">
        <v>40.028700000000001</v>
      </c>
      <c r="O44" s="8">
        <v>19.2531</v>
      </c>
      <c r="P44" s="8">
        <f t="shared" si="0"/>
        <v>59.281800000000004</v>
      </c>
      <c r="Q44" s="8"/>
      <c r="R44" s="1">
        <v>46.01</v>
      </c>
      <c r="S44" s="1">
        <v>22.13</v>
      </c>
      <c r="T44" s="8">
        <v>68.14</v>
      </c>
      <c r="U44" s="4" t="s">
        <v>218</v>
      </c>
      <c r="V44" s="4" t="s">
        <v>223</v>
      </c>
      <c r="W44" s="4" t="s">
        <v>232</v>
      </c>
      <c r="X44" s="4" t="s">
        <v>232</v>
      </c>
    </row>
    <row r="45" spans="1:24" s="4" customFormat="1" x14ac:dyDescent="0.25">
      <c r="A45" s="4" t="s">
        <v>19</v>
      </c>
      <c r="B45" s="4">
        <v>2019</v>
      </c>
      <c r="C45" s="4" t="s">
        <v>18</v>
      </c>
      <c r="D45" s="4" t="s">
        <v>89</v>
      </c>
      <c r="E45" s="4">
        <v>15</v>
      </c>
      <c r="F45" s="4">
        <v>2</v>
      </c>
      <c r="G45" s="4">
        <v>75</v>
      </c>
      <c r="H45" s="4">
        <v>34</v>
      </c>
      <c r="I45" s="4">
        <v>1.5</v>
      </c>
      <c r="J45" s="4">
        <v>26</v>
      </c>
      <c r="K45" s="6">
        <v>1251.3</v>
      </c>
      <c r="L45" s="6">
        <v>19.600000000000001</v>
      </c>
      <c r="M45" s="4">
        <v>1.5</v>
      </c>
      <c r="N45" s="8">
        <v>39.167400000000001</v>
      </c>
      <c r="O45" s="8">
        <v>19.0182</v>
      </c>
      <c r="P45" s="8">
        <f t="shared" si="0"/>
        <v>58.185600000000001</v>
      </c>
      <c r="Q45" s="8"/>
      <c r="R45" s="1">
        <v>45.02</v>
      </c>
      <c r="S45" s="1">
        <v>21.86</v>
      </c>
      <c r="T45" s="8">
        <v>66.88</v>
      </c>
      <c r="U45" s="4" t="s">
        <v>218</v>
      </c>
      <c r="V45" s="4" t="s">
        <v>223</v>
      </c>
      <c r="W45" s="4" t="s">
        <v>232</v>
      </c>
      <c r="X45" s="4" t="s">
        <v>232</v>
      </c>
    </row>
    <row r="46" spans="1:24" s="4" customFormat="1" x14ac:dyDescent="0.25">
      <c r="A46" s="5" t="s">
        <v>19</v>
      </c>
      <c r="B46" s="5">
        <v>2019</v>
      </c>
      <c r="C46" s="5" t="s">
        <v>18</v>
      </c>
      <c r="D46" s="5" t="s">
        <v>89</v>
      </c>
      <c r="E46" s="5">
        <v>15</v>
      </c>
      <c r="F46" s="5">
        <v>3</v>
      </c>
      <c r="G46" s="5">
        <v>132</v>
      </c>
      <c r="I46" s="4" t="s">
        <v>232</v>
      </c>
      <c r="J46" s="4" t="s">
        <v>232</v>
      </c>
      <c r="K46" s="6">
        <v>460.1</v>
      </c>
      <c r="L46" s="6">
        <v>17.8</v>
      </c>
      <c r="M46" s="4">
        <v>2.5</v>
      </c>
      <c r="N46" s="8">
        <v>39.889499999999998</v>
      </c>
      <c r="O46" s="8">
        <v>18.852900000000002</v>
      </c>
      <c r="P46" s="8">
        <f t="shared" si="0"/>
        <v>58.742400000000004</v>
      </c>
      <c r="Q46" s="8"/>
      <c r="R46" s="1">
        <v>45.85</v>
      </c>
      <c r="S46" s="1">
        <v>21.67</v>
      </c>
      <c r="T46" s="8">
        <v>67.52000000000001</v>
      </c>
      <c r="U46" s="4" t="s">
        <v>218</v>
      </c>
      <c r="V46" s="4" t="s">
        <v>223</v>
      </c>
      <c r="W46" s="4" t="s">
        <v>232</v>
      </c>
      <c r="X46" s="4" t="s">
        <v>232</v>
      </c>
    </row>
    <row r="47" spans="1:24" s="4" customFormat="1" x14ac:dyDescent="0.25">
      <c r="A47" s="5" t="s">
        <v>19</v>
      </c>
      <c r="B47" s="5">
        <v>2019</v>
      </c>
      <c r="C47" s="5" t="s">
        <v>18</v>
      </c>
      <c r="D47" s="5" t="s">
        <v>108</v>
      </c>
      <c r="E47" s="5">
        <v>16</v>
      </c>
      <c r="F47" s="5">
        <v>1</v>
      </c>
      <c r="G47" s="5">
        <v>12</v>
      </c>
      <c r="H47" s="4">
        <v>34</v>
      </c>
      <c r="I47" s="4">
        <v>1</v>
      </c>
      <c r="J47" s="4">
        <v>26</v>
      </c>
      <c r="K47" s="6">
        <v>935.5</v>
      </c>
      <c r="L47" s="6">
        <v>19.3</v>
      </c>
      <c r="M47" s="4">
        <v>3</v>
      </c>
      <c r="N47" s="8">
        <v>39.263100000000001</v>
      </c>
      <c r="O47" s="8">
        <v>18.496200000000002</v>
      </c>
      <c r="P47" s="8">
        <f t="shared" si="0"/>
        <v>57.759300000000003</v>
      </c>
      <c r="Q47" s="8"/>
      <c r="R47" s="1">
        <v>45.13</v>
      </c>
      <c r="S47" s="1">
        <v>21.26</v>
      </c>
      <c r="T47" s="8">
        <v>66.39</v>
      </c>
      <c r="U47" s="4" t="s">
        <v>218</v>
      </c>
      <c r="V47" s="4" t="s">
        <v>223</v>
      </c>
      <c r="W47" s="4" t="s">
        <v>232</v>
      </c>
      <c r="X47" s="4" t="s">
        <v>230</v>
      </c>
    </row>
    <row r="48" spans="1:24" s="4" customFormat="1" x14ac:dyDescent="0.25">
      <c r="A48" s="5" t="s">
        <v>19</v>
      </c>
      <c r="B48" s="5">
        <v>2019</v>
      </c>
      <c r="C48" s="5" t="s">
        <v>18</v>
      </c>
      <c r="D48" s="5" t="s">
        <v>108</v>
      </c>
      <c r="E48" s="5">
        <v>16</v>
      </c>
      <c r="F48" s="5">
        <v>2</v>
      </c>
      <c r="G48" s="5">
        <v>94</v>
      </c>
      <c r="H48" s="4">
        <v>36</v>
      </c>
      <c r="I48" s="4">
        <v>1</v>
      </c>
      <c r="J48" s="4">
        <v>25</v>
      </c>
      <c r="K48" s="6">
        <v>893.3</v>
      </c>
      <c r="L48" s="6">
        <v>21.4</v>
      </c>
      <c r="M48" s="4">
        <v>3</v>
      </c>
      <c r="N48" s="8">
        <v>40.194000000000003</v>
      </c>
      <c r="O48" s="8">
        <v>18.6006</v>
      </c>
      <c r="P48" s="8">
        <f t="shared" si="0"/>
        <v>58.794600000000003</v>
      </c>
      <c r="Q48" s="8"/>
      <c r="R48" s="1">
        <v>46.2</v>
      </c>
      <c r="S48" s="1">
        <v>21.38</v>
      </c>
      <c r="T48" s="8">
        <v>67.58</v>
      </c>
      <c r="U48" s="4" t="s">
        <v>218</v>
      </c>
      <c r="V48" s="4" t="s">
        <v>223</v>
      </c>
      <c r="W48" s="4" t="s">
        <v>232</v>
      </c>
      <c r="X48" s="4" t="s">
        <v>232</v>
      </c>
    </row>
    <row r="49" spans="1:24" s="4" customFormat="1" x14ac:dyDescent="0.25">
      <c r="A49" s="5" t="s">
        <v>19</v>
      </c>
      <c r="B49" s="5">
        <v>2019</v>
      </c>
      <c r="C49" s="5" t="s">
        <v>18</v>
      </c>
      <c r="D49" s="5" t="s">
        <v>108</v>
      </c>
      <c r="E49" s="5">
        <v>16</v>
      </c>
      <c r="F49" s="5">
        <v>3</v>
      </c>
      <c r="G49" s="5">
        <v>108</v>
      </c>
      <c r="I49" s="4" t="s">
        <v>232</v>
      </c>
      <c r="J49" s="4" t="s">
        <v>232</v>
      </c>
      <c r="K49" s="6">
        <v>934</v>
      </c>
      <c r="L49" s="6">
        <v>18.899999999999999</v>
      </c>
      <c r="M49" s="4">
        <v>3</v>
      </c>
      <c r="N49" s="8">
        <v>39.898200000000003</v>
      </c>
      <c r="O49" s="8">
        <v>18.974699999999999</v>
      </c>
      <c r="P49" s="8">
        <f t="shared" si="0"/>
        <v>58.872900000000001</v>
      </c>
      <c r="Q49" s="8"/>
      <c r="R49" s="1">
        <v>45.86</v>
      </c>
      <c r="S49" s="1">
        <v>21.81</v>
      </c>
      <c r="T49" s="8">
        <v>67.67</v>
      </c>
      <c r="U49" s="4" t="s">
        <v>218</v>
      </c>
      <c r="V49" s="4" t="s">
        <v>223</v>
      </c>
      <c r="W49" s="4" t="s">
        <v>232</v>
      </c>
      <c r="X49" s="4" t="s">
        <v>232</v>
      </c>
    </row>
    <row r="50" spans="1:24" s="4" customFormat="1" x14ac:dyDescent="0.25">
      <c r="A50" s="5" t="s">
        <v>19</v>
      </c>
      <c r="B50" s="5">
        <v>2019</v>
      </c>
      <c r="C50" s="5" t="s">
        <v>18</v>
      </c>
      <c r="D50" s="5" t="s">
        <v>112</v>
      </c>
      <c r="E50" s="5">
        <v>17</v>
      </c>
      <c r="F50" s="5">
        <v>1</v>
      </c>
      <c r="G50" s="5">
        <v>9</v>
      </c>
      <c r="H50" s="4">
        <v>33</v>
      </c>
      <c r="I50" s="4">
        <v>1.5</v>
      </c>
      <c r="J50" s="4">
        <v>26</v>
      </c>
      <c r="K50" s="6">
        <v>1076</v>
      </c>
      <c r="L50" s="6">
        <v>18.399999999999999</v>
      </c>
      <c r="M50" s="4">
        <v>3</v>
      </c>
      <c r="N50" s="8">
        <v>39.941699999999997</v>
      </c>
      <c r="O50" s="8">
        <v>17.904599999999999</v>
      </c>
      <c r="P50" s="8">
        <f t="shared" si="0"/>
        <v>57.846299999999999</v>
      </c>
      <c r="Q50" s="8"/>
      <c r="R50" s="1">
        <v>45.91</v>
      </c>
      <c r="S50" s="1">
        <v>20.58</v>
      </c>
      <c r="T50" s="8">
        <v>66.489999999999995</v>
      </c>
      <c r="U50" s="4" t="s">
        <v>218</v>
      </c>
      <c r="V50" s="4" t="s">
        <v>223</v>
      </c>
      <c r="W50" s="4" t="s">
        <v>232</v>
      </c>
      <c r="X50" s="4" t="s">
        <v>232</v>
      </c>
    </row>
    <row r="51" spans="1:24" s="4" customFormat="1" x14ac:dyDescent="0.25">
      <c r="A51" s="5" t="s">
        <v>19</v>
      </c>
      <c r="B51" s="5">
        <v>2019</v>
      </c>
      <c r="C51" s="5" t="s">
        <v>18</v>
      </c>
      <c r="D51" s="5" t="s">
        <v>112</v>
      </c>
      <c r="E51" s="5">
        <v>17</v>
      </c>
      <c r="F51" s="5">
        <v>2</v>
      </c>
      <c r="G51" s="5">
        <v>59</v>
      </c>
      <c r="H51" s="4">
        <v>30</v>
      </c>
      <c r="I51" s="4">
        <v>2</v>
      </c>
      <c r="J51" s="4">
        <v>32</v>
      </c>
      <c r="K51" s="6">
        <v>1077.0999999999999</v>
      </c>
      <c r="L51" s="6">
        <v>18.399999999999999</v>
      </c>
      <c r="M51" s="4">
        <v>2</v>
      </c>
      <c r="N51" s="8">
        <v>39.941699999999997</v>
      </c>
      <c r="O51" s="8">
        <v>18.252600000000001</v>
      </c>
      <c r="P51" s="8">
        <f t="shared" si="0"/>
        <v>58.194299999999998</v>
      </c>
      <c r="Q51" s="8"/>
      <c r="R51" s="1">
        <v>45.91</v>
      </c>
      <c r="S51" s="1">
        <v>20.98</v>
      </c>
      <c r="T51" s="8">
        <v>66.89</v>
      </c>
      <c r="U51" s="4" t="s">
        <v>218</v>
      </c>
      <c r="V51" s="4" t="s">
        <v>223</v>
      </c>
      <c r="W51" s="4" t="s">
        <v>232</v>
      </c>
      <c r="X51" s="4" t="s">
        <v>232</v>
      </c>
    </row>
    <row r="52" spans="1:24" s="4" customFormat="1" x14ac:dyDescent="0.25">
      <c r="A52" s="4" t="s">
        <v>19</v>
      </c>
      <c r="B52" s="4">
        <v>2019</v>
      </c>
      <c r="C52" s="4" t="s">
        <v>18</v>
      </c>
      <c r="D52" s="4" t="s">
        <v>112</v>
      </c>
      <c r="E52" s="4">
        <v>17</v>
      </c>
      <c r="F52" s="4">
        <v>3</v>
      </c>
      <c r="G52" s="4">
        <v>105</v>
      </c>
      <c r="I52" s="4" t="s">
        <v>232</v>
      </c>
      <c r="J52" s="4" t="s">
        <v>232</v>
      </c>
      <c r="K52" s="6">
        <v>765.5</v>
      </c>
      <c r="L52" s="6">
        <v>18.100000000000001</v>
      </c>
      <c r="M52" s="4">
        <v>2.5</v>
      </c>
      <c r="N52" s="8">
        <v>41.733899999999998</v>
      </c>
      <c r="O52" s="8">
        <v>17.7654</v>
      </c>
      <c r="P52" s="8">
        <f t="shared" si="0"/>
        <v>59.499299999999998</v>
      </c>
      <c r="Q52" s="8"/>
      <c r="R52" s="1">
        <v>47.97</v>
      </c>
      <c r="S52" s="1">
        <v>20.420000000000002</v>
      </c>
      <c r="T52" s="8">
        <v>68.39</v>
      </c>
      <c r="U52" s="4" t="s">
        <v>218</v>
      </c>
      <c r="V52" s="4" t="s">
        <v>223</v>
      </c>
      <c r="W52" s="4" t="s">
        <v>232</v>
      </c>
      <c r="X52" s="4" t="s">
        <v>232</v>
      </c>
    </row>
    <row r="53" spans="1:24" s="4" customFormat="1" x14ac:dyDescent="0.25">
      <c r="A53" s="5" t="s">
        <v>19</v>
      </c>
      <c r="B53" s="5">
        <v>2019</v>
      </c>
      <c r="C53" s="5" t="s">
        <v>18</v>
      </c>
      <c r="D53" s="5" t="s">
        <v>64</v>
      </c>
      <c r="E53" s="5">
        <v>18</v>
      </c>
      <c r="F53" s="5">
        <v>1</v>
      </c>
      <c r="G53" s="5">
        <v>41</v>
      </c>
      <c r="H53" s="4">
        <v>29</v>
      </c>
      <c r="I53" s="4">
        <v>1</v>
      </c>
      <c r="J53" s="4">
        <v>22</v>
      </c>
      <c r="K53" s="6">
        <v>1183.0999999999999</v>
      </c>
      <c r="L53" s="6">
        <v>17.3</v>
      </c>
      <c r="M53" s="4">
        <v>2</v>
      </c>
      <c r="N53" s="8">
        <v>38.454000000000001</v>
      </c>
      <c r="O53" s="8">
        <v>19.601100000000002</v>
      </c>
      <c r="P53" s="8">
        <f t="shared" si="0"/>
        <v>58.055100000000003</v>
      </c>
      <c r="Q53" s="8"/>
      <c r="R53" s="1">
        <v>44.2</v>
      </c>
      <c r="S53" s="1">
        <v>22.53</v>
      </c>
      <c r="T53" s="8">
        <v>66.73</v>
      </c>
      <c r="U53" s="4" t="s">
        <v>220</v>
      </c>
      <c r="V53" s="4" t="s">
        <v>223</v>
      </c>
      <c r="W53" s="4" t="s">
        <v>232</v>
      </c>
      <c r="X53" s="4" t="s">
        <v>232</v>
      </c>
    </row>
    <row r="54" spans="1:24" s="4" customFormat="1" x14ac:dyDescent="0.25">
      <c r="A54" s="4" t="s">
        <v>19</v>
      </c>
      <c r="B54" s="4">
        <v>2019</v>
      </c>
      <c r="C54" s="4" t="s">
        <v>18</v>
      </c>
      <c r="D54" s="4" t="s">
        <v>64</v>
      </c>
      <c r="E54" s="4">
        <v>18</v>
      </c>
      <c r="F54" s="4">
        <v>2</v>
      </c>
      <c r="G54" s="4">
        <v>86</v>
      </c>
      <c r="H54" s="4">
        <v>29</v>
      </c>
      <c r="I54" s="4">
        <v>1</v>
      </c>
      <c r="J54" s="4">
        <v>20</v>
      </c>
      <c r="K54" s="6">
        <v>1177.7</v>
      </c>
      <c r="L54" s="6">
        <v>16.100000000000001</v>
      </c>
      <c r="M54" s="4">
        <v>2</v>
      </c>
      <c r="N54" s="8">
        <v>38.767200000000003</v>
      </c>
      <c r="O54" s="8">
        <v>18.966000000000001</v>
      </c>
      <c r="P54" s="8">
        <f t="shared" si="0"/>
        <v>57.733200000000004</v>
      </c>
      <c r="Q54" s="8"/>
      <c r="R54" s="1">
        <v>44.56</v>
      </c>
      <c r="S54" s="1">
        <v>21.8</v>
      </c>
      <c r="T54" s="8">
        <v>66.36</v>
      </c>
      <c r="U54" s="4" t="s">
        <v>220</v>
      </c>
      <c r="V54" s="4" t="s">
        <v>223</v>
      </c>
      <c r="W54" s="4" t="s">
        <v>232</v>
      </c>
      <c r="X54" s="4" t="s">
        <v>232</v>
      </c>
    </row>
    <row r="55" spans="1:24" s="4" customFormat="1" x14ac:dyDescent="0.25">
      <c r="A55" s="5" t="s">
        <v>19</v>
      </c>
      <c r="B55" s="5">
        <v>2019</v>
      </c>
      <c r="C55" s="5" t="s">
        <v>18</v>
      </c>
      <c r="D55" s="5" t="s">
        <v>64</v>
      </c>
      <c r="E55" s="5">
        <v>18</v>
      </c>
      <c r="F55" s="5">
        <v>3</v>
      </c>
      <c r="G55" s="5">
        <v>139</v>
      </c>
      <c r="I55" s="4" t="s">
        <v>232</v>
      </c>
      <c r="J55" s="4" t="s">
        <v>232</v>
      </c>
      <c r="K55" s="6">
        <v>1039</v>
      </c>
      <c r="L55" s="6">
        <v>14.8</v>
      </c>
      <c r="M55" s="4">
        <v>2.5</v>
      </c>
      <c r="N55" s="8">
        <v>39.384900000000002</v>
      </c>
      <c r="O55" s="8">
        <v>19.0443</v>
      </c>
      <c r="P55" s="8">
        <f t="shared" si="0"/>
        <v>58.429200000000002</v>
      </c>
      <c r="Q55" s="8"/>
      <c r="R55" s="1">
        <v>45.27</v>
      </c>
      <c r="S55" s="1">
        <v>21.89</v>
      </c>
      <c r="T55" s="8">
        <v>67.16</v>
      </c>
      <c r="U55" s="4" t="s">
        <v>220</v>
      </c>
      <c r="V55" s="4" t="s">
        <v>223</v>
      </c>
      <c r="W55" s="4" t="s">
        <v>232</v>
      </c>
      <c r="X55" s="4" t="s">
        <v>232</v>
      </c>
    </row>
    <row r="56" spans="1:24" s="4" customFormat="1" x14ac:dyDescent="0.25">
      <c r="A56" s="5" t="s">
        <v>19</v>
      </c>
      <c r="B56" s="5">
        <v>2019</v>
      </c>
      <c r="C56" s="5" t="s">
        <v>18</v>
      </c>
      <c r="D56" s="5" t="s">
        <v>70</v>
      </c>
      <c r="E56" s="5">
        <v>19</v>
      </c>
      <c r="F56" s="5">
        <v>1</v>
      </c>
      <c r="G56" s="5">
        <v>50</v>
      </c>
      <c r="H56" s="4">
        <v>30</v>
      </c>
      <c r="I56" s="4">
        <v>1</v>
      </c>
      <c r="J56" s="4">
        <v>25</v>
      </c>
      <c r="K56" s="6">
        <v>1320</v>
      </c>
      <c r="L56" s="6">
        <v>16.2</v>
      </c>
      <c r="M56" s="4">
        <v>2</v>
      </c>
      <c r="N56" s="8">
        <v>37.122900000000001</v>
      </c>
      <c r="O56" s="8">
        <v>20.218799999999998</v>
      </c>
      <c r="P56" s="8">
        <f t="shared" si="0"/>
        <v>57.341700000000003</v>
      </c>
      <c r="Q56" s="8"/>
      <c r="R56" s="1">
        <v>42.67</v>
      </c>
      <c r="S56" s="1">
        <v>23.24</v>
      </c>
      <c r="T56" s="8">
        <v>65.91</v>
      </c>
      <c r="U56" s="4" t="s">
        <v>218</v>
      </c>
      <c r="V56" s="4" t="s">
        <v>223</v>
      </c>
      <c r="W56" s="4" t="s">
        <v>222</v>
      </c>
      <c r="X56" s="4" t="s">
        <v>232</v>
      </c>
    </row>
    <row r="57" spans="1:24" s="4" customFormat="1" x14ac:dyDescent="0.25">
      <c r="A57" s="5" t="s">
        <v>19</v>
      </c>
      <c r="B57" s="5">
        <v>2019</v>
      </c>
      <c r="C57" s="5" t="s">
        <v>18</v>
      </c>
      <c r="D57" s="5" t="s">
        <v>70</v>
      </c>
      <c r="E57" s="5">
        <v>19</v>
      </c>
      <c r="F57" s="5">
        <v>2</v>
      </c>
      <c r="G57" s="5">
        <v>88</v>
      </c>
      <c r="H57" s="4">
        <v>30</v>
      </c>
      <c r="I57" s="4">
        <v>1</v>
      </c>
      <c r="J57" s="4">
        <v>24</v>
      </c>
      <c r="K57" s="6">
        <v>1075</v>
      </c>
      <c r="L57" s="6">
        <v>15.9</v>
      </c>
      <c r="M57" s="4">
        <v>1.5</v>
      </c>
      <c r="N57" s="8">
        <v>36.835800000000006</v>
      </c>
      <c r="O57" s="8">
        <v>20.297099999999997</v>
      </c>
      <c r="P57" s="8">
        <f t="shared" si="0"/>
        <v>57.132900000000006</v>
      </c>
      <c r="Q57" s="8"/>
      <c r="R57" s="1">
        <v>42.34</v>
      </c>
      <c r="S57" s="1">
        <v>23.33</v>
      </c>
      <c r="T57" s="8">
        <v>65.67</v>
      </c>
      <c r="U57" s="4" t="s">
        <v>218</v>
      </c>
      <c r="V57" s="4" t="s">
        <v>223</v>
      </c>
      <c r="W57" s="4" t="s">
        <v>232</v>
      </c>
      <c r="X57" s="4" t="s">
        <v>232</v>
      </c>
    </row>
    <row r="58" spans="1:24" s="4" customFormat="1" x14ac:dyDescent="0.25">
      <c r="A58" s="5" t="s">
        <v>19</v>
      </c>
      <c r="B58" s="5">
        <v>2019</v>
      </c>
      <c r="C58" s="5" t="s">
        <v>18</v>
      </c>
      <c r="D58" s="5" t="s">
        <v>70</v>
      </c>
      <c r="E58" s="5">
        <v>19</v>
      </c>
      <c r="F58" s="5">
        <v>3</v>
      </c>
      <c r="G58" s="5">
        <v>138</v>
      </c>
      <c r="I58" s="4" t="s">
        <v>232</v>
      </c>
      <c r="J58" s="4" t="s">
        <v>232</v>
      </c>
      <c r="K58" s="6">
        <v>1176</v>
      </c>
      <c r="L58" s="6">
        <v>15.7</v>
      </c>
      <c r="M58" s="4">
        <v>1.5</v>
      </c>
      <c r="N58" s="8">
        <v>36.061500000000002</v>
      </c>
      <c r="O58" s="8">
        <v>20.445</v>
      </c>
      <c r="P58" s="8">
        <f t="shared" si="0"/>
        <v>56.506500000000003</v>
      </c>
      <c r="Q58" s="8"/>
      <c r="R58" s="1">
        <v>41.45</v>
      </c>
      <c r="S58" s="1">
        <v>23.5</v>
      </c>
      <c r="T58" s="8">
        <v>64.95</v>
      </c>
      <c r="U58" s="4" t="s">
        <v>218</v>
      </c>
      <c r="V58" s="4" t="s">
        <v>223</v>
      </c>
      <c r="W58" s="4" t="s">
        <v>232</v>
      </c>
      <c r="X58" s="4" t="s">
        <v>232</v>
      </c>
    </row>
    <row r="59" spans="1:24" s="4" customFormat="1" x14ac:dyDescent="0.25">
      <c r="A59" s="5" t="s">
        <v>19</v>
      </c>
      <c r="B59" s="5">
        <v>2019</v>
      </c>
      <c r="C59" s="5" t="s">
        <v>18</v>
      </c>
      <c r="D59" s="5" t="s">
        <v>46</v>
      </c>
      <c r="E59" s="5">
        <v>20</v>
      </c>
      <c r="F59" s="5">
        <v>1</v>
      </c>
      <c r="G59" s="5">
        <v>33</v>
      </c>
      <c r="H59" s="4">
        <v>30</v>
      </c>
      <c r="I59" s="4">
        <v>1</v>
      </c>
      <c r="J59" s="4">
        <v>19</v>
      </c>
      <c r="K59" s="6">
        <v>1229</v>
      </c>
      <c r="L59" s="6">
        <v>15.3</v>
      </c>
      <c r="M59" s="4">
        <v>2</v>
      </c>
      <c r="N59" s="8">
        <v>36.557400000000001</v>
      </c>
      <c r="O59" s="8">
        <v>20.5581</v>
      </c>
      <c r="P59" s="8">
        <f t="shared" si="0"/>
        <v>57.115499999999997</v>
      </c>
      <c r="Q59" s="8"/>
      <c r="R59" s="1">
        <v>42.02</v>
      </c>
      <c r="S59" s="1">
        <v>23.63</v>
      </c>
      <c r="T59" s="8">
        <v>65.650000000000006</v>
      </c>
      <c r="U59" s="4" t="s">
        <v>219</v>
      </c>
      <c r="V59" s="4" t="s">
        <v>223</v>
      </c>
      <c r="W59" s="4" t="s">
        <v>232</v>
      </c>
      <c r="X59" s="4" t="s">
        <v>232</v>
      </c>
    </row>
    <row r="60" spans="1:24" s="4" customFormat="1" x14ac:dyDescent="0.25">
      <c r="A60" s="4" t="s">
        <v>19</v>
      </c>
      <c r="B60" s="4">
        <v>2019</v>
      </c>
      <c r="C60" s="4" t="s">
        <v>18</v>
      </c>
      <c r="D60" s="4" t="s">
        <v>46</v>
      </c>
      <c r="E60" s="4">
        <v>20</v>
      </c>
      <c r="F60" s="4">
        <v>2</v>
      </c>
      <c r="G60" s="4">
        <v>67</v>
      </c>
      <c r="H60" s="4">
        <v>32</v>
      </c>
      <c r="I60" s="4">
        <v>1</v>
      </c>
      <c r="J60" s="4">
        <v>20</v>
      </c>
      <c r="K60" s="6">
        <v>1120</v>
      </c>
      <c r="L60" s="6">
        <v>15.6</v>
      </c>
      <c r="M60" s="4">
        <v>2.5</v>
      </c>
      <c r="N60" s="8">
        <v>38.010300000000001</v>
      </c>
      <c r="O60" s="8">
        <v>19.7577</v>
      </c>
      <c r="P60" s="8">
        <f t="shared" si="0"/>
        <v>57.768000000000001</v>
      </c>
      <c r="Q60" s="8"/>
      <c r="R60" s="1">
        <v>43.69</v>
      </c>
      <c r="S60" s="1">
        <v>22.71</v>
      </c>
      <c r="T60" s="8">
        <v>66.400000000000006</v>
      </c>
      <c r="U60" s="4" t="s">
        <v>219</v>
      </c>
      <c r="V60" s="4" t="s">
        <v>223</v>
      </c>
      <c r="W60" s="4" t="s">
        <v>232</v>
      </c>
      <c r="X60" s="4" t="s">
        <v>232</v>
      </c>
    </row>
    <row r="61" spans="1:24" s="4" customFormat="1" x14ac:dyDescent="0.25">
      <c r="A61" s="5" t="s">
        <v>19</v>
      </c>
      <c r="B61" s="5">
        <v>2019</v>
      </c>
      <c r="C61" s="5" t="s">
        <v>18</v>
      </c>
      <c r="D61" s="5" t="s">
        <v>46</v>
      </c>
      <c r="E61" s="5">
        <v>20</v>
      </c>
      <c r="F61" s="5">
        <v>3</v>
      </c>
      <c r="G61" s="5">
        <v>121</v>
      </c>
      <c r="I61" s="4" t="s">
        <v>232</v>
      </c>
      <c r="J61" s="4" t="s">
        <v>232</v>
      </c>
      <c r="K61" s="6">
        <v>974.6</v>
      </c>
      <c r="L61" s="6">
        <v>14.5</v>
      </c>
      <c r="M61" s="4">
        <v>2</v>
      </c>
      <c r="N61" s="8">
        <v>37.879799999999996</v>
      </c>
      <c r="O61" s="8">
        <v>19.7577</v>
      </c>
      <c r="P61" s="8">
        <f t="shared" si="0"/>
        <v>57.637499999999996</v>
      </c>
      <c r="Q61" s="8"/>
      <c r="R61" s="1">
        <v>43.54</v>
      </c>
      <c r="S61" s="1">
        <v>22.71</v>
      </c>
      <c r="T61" s="8">
        <v>66.25</v>
      </c>
      <c r="U61" s="4" t="s">
        <v>219</v>
      </c>
      <c r="V61" s="4" t="s">
        <v>223</v>
      </c>
      <c r="W61" s="4" t="s">
        <v>232</v>
      </c>
      <c r="X61" s="4" t="s">
        <v>232</v>
      </c>
    </row>
    <row r="62" spans="1:24" s="4" customFormat="1" x14ac:dyDescent="0.25">
      <c r="A62" s="4" t="s">
        <v>19</v>
      </c>
      <c r="B62" s="4">
        <v>2019</v>
      </c>
      <c r="C62" s="4" t="s">
        <v>18</v>
      </c>
      <c r="D62" s="4" t="s">
        <v>169</v>
      </c>
      <c r="E62" s="4">
        <v>21</v>
      </c>
      <c r="F62" s="4">
        <v>1</v>
      </c>
      <c r="G62" s="4">
        <v>16</v>
      </c>
      <c r="H62" s="4">
        <v>29</v>
      </c>
      <c r="I62" s="4">
        <v>1.5</v>
      </c>
      <c r="J62" s="4">
        <v>27</v>
      </c>
      <c r="K62" s="6">
        <v>1306.4000000000001</v>
      </c>
      <c r="L62" s="6">
        <v>13.4</v>
      </c>
      <c r="M62" s="4">
        <v>2</v>
      </c>
      <c r="N62" s="8">
        <v>36.531300000000002</v>
      </c>
      <c r="O62" s="8">
        <v>20.7408</v>
      </c>
      <c r="P62" s="8">
        <f t="shared" si="0"/>
        <v>57.272100000000002</v>
      </c>
      <c r="Q62" s="8"/>
      <c r="R62" s="1">
        <v>41.99</v>
      </c>
      <c r="S62" s="1">
        <v>23.84</v>
      </c>
      <c r="T62" s="8">
        <v>65.83</v>
      </c>
      <c r="U62" s="4" t="s">
        <v>220</v>
      </c>
      <c r="V62" s="4" t="s">
        <v>223</v>
      </c>
      <c r="W62" s="4" t="s">
        <v>232</v>
      </c>
      <c r="X62" s="4" t="s">
        <v>232</v>
      </c>
    </row>
    <row r="63" spans="1:24" s="4" customFormat="1" x14ac:dyDescent="0.25">
      <c r="A63" s="4" t="s">
        <v>19</v>
      </c>
      <c r="B63" s="4">
        <v>2019</v>
      </c>
      <c r="C63" s="4" t="s">
        <v>18</v>
      </c>
      <c r="D63" s="4" t="s">
        <v>169</v>
      </c>
      <c r="E63" s="4">
        <v>21</v>
      </c>
      <c r="F63" s="4">
        <v>2</v>
      </c>
      <c r="G63" s="4">
        <v>85</v>
      </c>
      <c r="H63" s="4">
        <v>29</v>
      </c>
      <c r="I63" s="4">
        <v>1</v>
      </c>
      <c r="J63" s="4">
        <v>27</v>
      </c>
      <c r="K63" s="6">
        <v>1169.3</v>
      </c>
      <c r="L63" s="6">
        <v>13</v>
      </c>
      <c r="M63" s="4">
        <v>1.5</v>
      </c>
      <c r="N63" s="8">
        <v>36.000599999999999</v>
      </c>
      <c r="O63" s="8">
        <v>20.619</v>
      </c>
      <c r="P63" s="8">
        <f t="shared" si="0"/>
        <v>56.619599999999998</v>
      </c>
      <c r="Q63" s="8"/>
      <c r="R63" s="1">
        <v>41.38</v>
      </c>
      <c r="S63" s="1">
        <v>23.7</v>
      </c>
      <c r="T63" s="8">
        <v>65.08</v>
      </c>
      <c r="U63" s="4" t="s">
        <v>220</v>
      </c>
      <c r="V63" s="4" t="s">
        <v>223</v>
      </c>
      <c r="W63" s="4" t="s">
        <v>232</v>
      </c>
      <c r="X63" s="4" t="s">
        <v>232</v>
      </c>
    </row>
    <row r="64" spans="1:24" s="4" customFormat="1" x14ac:dyDescent="0.25">
      <c r="A64" s="4" t="s">
        <v>19</v>
      </c>
      <c r="B64" s="4">
        <v>2019</v>
      </c>
      <c r="C64" s="4" t="s">
        <v>18</v>
      </c>
      <c r="D64" s="4" t="s">
        <v>169</v>
      </c>
      <c r="E64" s="4">
        <v>21</v>
      </c>
      <c r="F64" s="4">
        <v>3</v>
      </c>
      <c r="G64" s="4">
        <v>127</v>
      </c>
      <c r="I64" s="4" t="s">
        <v>232</v>
      </c>
      <c r="J64" s="4" t="s">
        <v>232</v>
      </c>
      <c r="K64" s="6">
        <v>629.70000000000005</v>
      </c>
      <c r="L64" s="6">
        <v>14.4</v>
      </c>
      <c r="M64" s="4">
        <v>1.5</v>
      </c>
      <c r="N64" s="8">
        <v>36.653100000000002</v>
      </c>
      <c r="O64" s="8">
        <v>20.9757</v>
      </c>
      <c r="P64" s="8">
        <f t="shared" si="0"/>
        <v>57.628799999999998</v>
      </c>
      <c r="Q64" s="8"/>
      <c r="R64" s="1">
        <v>42.13</v>
      </c>
      <c r="S64" s="1">
        <v>24.11</v>
      </c>
      <c r="T64" s="8">
        <v>66.240000000000009</v>
      </c>
      <c r="U64" s="4" t="s">
        <v>220</v>
      </c>
      <c r="V64" s="4" t="s">
        <v>223</v>
      </c>
      <c r="W64" s="4" t="s">
        <v>221</v>
      </c>
      <c r="X64" s="4" t="s">
        <v>232</v>
      </c>
    </row>
    <row r="65" spans="1:24" s="4" customFormat="1" x14ac:dyDescent="0.25">
      <c r="A65" s="5" t="s">
        <v>19</v>
      </c>
      <c r="B65" s="5">
        <v>2019</v>
      </c>
      <c r="C65" s="5" t="s">
        <v>18</v>
      </c>
      <c r="D65" s="5" t="s">
        <v>57</v>
      </c>
      <c r="E65" s="5">
        <v>22</v>
      </c>
      <c r="F65" s="5">
        <v>1</v>
      </c>
      <c r="G65" s="5">
        <v>19</v>
      </c>
      <c r="H65" s="4">
        <v>32</v>
      </c>
      <c r="I65" s="4">
        <v>1</v>
      </c>
      <c r="J65" s="4">
        <v>27</v>
      </c>
      <c r="K65" s="6">
        <v>1124.3</v>
      </c>
      <c r="L65" s="6">
        <v>14.8</v>
      </c>
      <c r="M65" s="4">
        <v>2.5</v>
      </c>
      <c r="N65" s="8">
        <v>36.6096</v>
      </c>
      <c r="O65" s="8">
        <v>20.157900000000001</v>
      </c>
      <c r="P65" s="8">
        <f t="shared" si="0"/>
        <v>56.767499999999998</v>
      </c>
      <c r="Q65" s="8"/>
      <c r="R65" s="1">
        <v>42.08</v>
      </c>
      <c r="S65" s="1">
        <v>23.17</v>
      </c>
      <c r="T65" s="8">
        <v>65.25</v>
      </c>
      <c r="U65" s="4" t="s">
        <v>218</v>
      </c>
      <c r="V65" s="4" t="s">
        <v>223</v>
      </c>
      <c r="W65" s="4" t="s">
        <v>232</v>
      </c>
      <c r="X65" s="4" t="s">
        <v>232</v>
      </c>
    </row>
    <row r="66" spans="1:24" s="4" customFormat="1" x14ac:dyDescent="0.25">
      <c r="A66" s="4" t="s">
        <v>19</v>
      </c>
      <c r="B66" s="4">
        <v>2019</v>
      </c>
      <c r="C66" s="4" t="s">
        <v>18</v>
      </c>
      <c r="D66" s="4" t="s">
        <v>57</v>
      </c>
      <c r="E66" s="4">
        <v>22</v>
      </c>
      <c r="F66" s="4">
        <v>2</v>
      </c>
      <c r="G66" s="4">
        <v>96</v>
      </c>
      <c r="H66" s="4">
        <v>34</v>
      </c>
      <c r="I66" s="4">
        <v>1.5</v>
      </c>
      <c r="J66" s="4">
        <v>30</v>
      </c>
      <c r="K66" s="6">
        <v>1183.0999999999999</v>
      </c>
      <c r="L66" s="6">
        <v>14.7</v>
      </c>
      <c r="M66" s="4">
        <v>1</v>
      </c>
      <c r="N66" s="8">
        <v>36.914099999999998</v>
      </c>
      <c r="O66" s="8">
        <v>19.688099999999999</v>
      </c>
      <c r="P66" s="8">
        <f t="shared" si="0"/>
        <v>56.602199999999996</v>
      </c>
      <c r="Q66" s="8"/>
      <c r="R66" s="1">
        <v>42.43</v>
      </c>
      <c r="S66" s="1">
        <v>22.63</v>
      </c>
      <c r="T66" s="8">
        <v>65.06</v>
      </c>
      <c r="U66" s="4" t="s">
        <v>218</v>
      </c>
      <c r="V66" s="4" t="s">
        <v>223</v>
      </c>
      <c r="W66" s="4" t="s">
        <v>232</v>
      </c>
      <c r="X66" s="4" t="s">
        <v>232</v>
      </c>
    </row>
    <row r="67" spans="1:24" s="4" customFormat="1" x14ac:dyDescent="0.25">
      <c r="A67" s="5" t="s">
        <v>19</v>
      </c>
      <c r="B67" s="5">
        <v>2019</v>
      </c>
      <c r="C67" s="5" t="s">
        <v>18</v>
      </c>
      <c r="D67" s="5" t="s">
        <v>57</v>
      </c>
      <c r="E67" s="5">
        <v>22</v>
      </c>
      <c r="F67" s="5">
        <v>3</v>
      </c>
      <c r="G67" s="5">
        <v>131</v>
      </c>
      <c r="I67" s="4" t="s">
        <v>232</v>
      </c>
      <c r="J67" s="4" t="s">
        <v>232</v>
      </c>
      <c r="K67" s="6">
        <v>628.1</v>
      </c>
      <c r="L67" s="6">
        <v>14.7</v>
      </c>
      <c r="M67" s="4">
        <v>2.5</v>
      </c>
      <c r="N67" s="8">
        <v>37.610099999999996</v>
      </c>
      <c r="O67" s="8">
        <v>19.096499999999999</v>
      </c>
      <c r="P67" s="8">
        <f t="shared" ref="P67:P130" si="1">N67+O67</f>
        <v>56.706599999999995</v>
      </c>
      <c r="Q67" s="8"/>
      <c r="R67" s="1">
        <v>43.23</v>
      </c>
      <c r="S67" s="1">
        <v>21.95</v>
      </c>
      <c r="T67" s="8">
        <v>65.179999999999993</v>
      </c>
      <c r="U67" s="4" t="s">
        <v>218</v>
      </c>
      <c r="V67" s="4" t="s">
        <v>223</v>
      </c>
      <c r="W67" s="4" t="s">
        <v>232</v>
      </c>
      <c r="X67" s="4" t="s">
        <v>232</v>
      </c>
    </row>
    <row r="68" spans="1:24" s="4" customFormat="1" x14ac:dyDescent="0.25">
      <c r="A68" s="5" t="s">
        <v>19</v>
      </c>
      <c r="B68" s="5">
        <v>2019</v>
      </c>
      <c r="C68" s="5" t="s">
        <v>18</v>
      </c>
      <c r="D68" s="5" t="s">
        <v>37</v>
      </c>
      <c r="E68" s="5">
        <v>23</v>
      </c>
      <c r="F68" s="5">
        <v>1</v>
      </c>
      <c r="G68" s="5">
        <v>20</v>
      </c>
      <c r="H68" s="4">
        <v>30</v>
      </c>
      <c r="I68" s="4">
        <v>1.5</v>
      </c>
      <c r="J68" s="4">
        <v>26</v>
      </c>
      <c r="K68" s="6">
        <v>960.5</v>
      </c>
      <c r="L68" s="6">
        <v>16.8</v>
      </c>
      <c r="M68" s="4">
        <v>1.5</v>
      </c>
      <c r="N68" s="8">
        <v>37.6188</v>
      </c>
      <c r="O68" s="8">
        <v>19.740300000000001</v>
      </c>
      <c r="P68" s="8">
        <f t="shared" si="1"/>
        <v>57.359099999999998</v>
      </c>
      <c r="Q68" s="8"/>
      <c r="R68" s="1">
        <v>43.24</v>
      </c>
      <c r="S68" s="1">
        <v>22.69</v>
      </c>
      <c r="T68" s="8">
        <v>65.930000000000007</v>
      </c>
      <c r="U68" s="4" t="s">
        <v>219</v>
      </c>
      <c r="V68" s="4" t="s">
        <v>223</v>
      </c>
      <c r="W68" s="4" t="s">
        <v>232</v>
      </c>
      <c r="X68" s="4" t="s">
        <v>232</v>
      </c>
    </row>
    <row r="69" spans="1:24" s="4" customFormat="1" x14ac:dyDescent="0.25">
      <c r="A69" s="4" t="s">
        <v>19</v>
      </c>
      <c r="B69" s="4">
        <v>2019</v>
      </c>
      <c r="C69" s="4" t="s">
        <v>18</v>
      </c>
      <c r="D69" s="4" t="s">
        <v>37</v>
      </c>
      <c r="E69" s="4">
        <v>23</v>
      </c>
      <c r="F69" s="4">
        <v>2</v>
      </c>
      <c r="G69" s="4">
        <v>76</v>
      </c>
      <c r="H69" s="4">
        <v>30</v>
      </c>
      <c r="I69" s="4">
        <v>1.5</v>
      </c>
      <c r="J69" s="4">
        <v>29</v>
      </c>
      <c r="K69" s="6">
        <v>1231.3</v>
      </c>
      <c r="L69" s="6">
        <v>16.5</v>
      </c>
      <c r="M69" s="4">
        <v>1.5</v>
      </c>
      <c r="N69" s="8">
        <v>37.366500000000002</v>
      </c>
      <c r="O69" s="8">
        <v>19.148700000000002</v>
      </c>
      <c r="P69" s="8">
        <f t="shared" si="1"/>
        <v>56.515200000000007</v>
      </c>
      <c r="Q69" s="8"/>
      <c r="R69" s="1">
        <v>42.95</v>
      </c>
      <c r="S69" s="1">
        <v>22.01</v>
      </c>
      <c r="T69" s="8">
        <v>64.960000000000008</v>
      </c>
      <c r="U69" s="4" t="s">
        <v>219</v>
      </c>
      <c r="V69" s="4" t="s">
        <v>223</v>
      </c>
      <c r="W69" s="4" t="s">
        <v>232</v>
      </c>
      <c r="X69" s="4" t="s">
        <v>232</v>
      </c>
    </row>
    <row r="70" spans="1:24" s="4" customFormat="1" x14ac:dyDescent="0.25">
      <c r="A70" s="5" t="s">
        <v>19</v>
      </c>
      <c r="B70" s="5">
        <v>2019</v>
      </c>
      <c r="C70" s="5" t="s">
        <v>18</v>
      </c>
      <c r="D70" s="5" t="s">
        <v>37</v>
      </c>
      <c r="E70" s="5">
        <v>23</v>
      </c>
      <c r="F70" s="5">
        <v>3</v>
      </c>
      <c r="G70" s="5">
        <v>130</v>
      </c>
      <c r="I70" s="4" t="s">
        <v>232</v>
      </c>
      <c r="J70" s="4" t="s">
        <v>232</v>
      </c>
      <c r="K70" s="6">
        <v>983.2</v>
      </c>
      <c r="L70" s="6">
        <v>16.5</v>
      </c>
      <c r="M70" s="4">
        <v>2</v>
      </c>
      <c r="N70" s="8">
        <v>38.958600000000004</v>
      </c>
      <c r="O70" s="8">
        <v>18.591900000000003</v>
      </c>
      <c r="P70" s="8">
        <f t="shared" si="1"/>
        <v>57.550500000000007</v>
      </c>
      <c r="Q70" s="8"/>
      <c r="R70" s="1">
        <v>44.78</v>
      </c>
      <c r="S70" s="1">
        <v>21.37</v>
      </c>
      <c r="T70" s="8">
        <v>66.150000000000006</v>
      </c>
      <c r="U70" s="4" t="s">
        <v>219</v>
      </c>
      <c r="V70" s="4" t="s">
        <v>223</v>
      </c>
      <c r="W70" s="4" t="s">
        <v>232</v>
      </c>
      <c r="X70" s="4" t="s">
        <v>232</v>
      </c>
    </row>
    <row r="71" spans="1:24" s="4" customFormat="1" x14ac:dyDescent="0.25">
      <c r="A71" s="4" t="s">
        <v>19</v>
      </c>
      <c r="B71" s="4">
        <v>2019</v>
      </c>
      <c r="C71" s="4" t="s">
        <v>18</v>
      </c>
      <c r="D71" s="4" t="s">
        <v>44</v>
      </c>
      <c r="E71" s="4">
        <v>24</v>
      </c>
      <c r="F71" s="4">
        <v>1</v>
      </c>
      <c r="G71" s="4">
        <v>24</v>
      </c>
      <c r="H71" s="4">
        <v>34</v>
      </c>
      <c r="I71" s="4">
        <v>1.5</v>
      </c>
      <c r="J71" s="4">
        <v>24</v>
      </c>
      <c r="K71" s="6">
        <v>1293.3</v>
      </c>
      <c r="L71" s="6">
        <v>13.9</v>
      </c>
      <c r="M71" s="4">
        <v>2</v>
      </c>
      <c r="N71" s="8">
        <v>38.019000000000005</v>
      </c>
      <c r="O71" s="8">
        <v>19.566299999999998</v>
      </c>
      <c r="P71" s="8">
        <f t="shared" si="1"/>
        <v>57.585300000000004</v>
      </c>
      <c r="Q71" s="8"/>
      <c r="R71" s="1">
        <v>43.7</v>
      </c>
      <c r="S71" s="1">
        <v>22.49</v>
      </c>
      <c r="T71" s="8">
        <v>66.19</v>
      </c>
      <c r="U71" s="4" t="s">
        <v>218</v>
      </c>
      <c r="V71" s="4" t="s">
        <v>224</v>
      </c>
      <c r="W71" s="4" t="s">
        <v>232</v>
      </c>
      <c r="X71" s="4" t="s">
        <v>232</v>
      </c>
    </row>
    <row r="72" spans="1:24" s="4" customFormat="1" x14ac:dyDescent="0.25">
      <c r="A72" s="5" t="s">
        <v>19</v>
      </c>
      <c r="B72" s="5">
        <v>2019</v>
      </c>
      <c r="C72" s="5" t="s">
        <v>18</v>
      </c>
      <c r="D72" s="5" t="s">
        <v>44</v>
      </c>
      <c r="E72" s="5">
        <v>24</v>
      </c>
      <c r="F72" s="5">
        <v>2</v>
      </c>
      <c r="G72" s="5">
        <v>71</v>
      </c>
      <c r="H72" s="4">
        <v>36</v>
      </c>
      <c r="I72" s="4">
        <v>1.5</v>
      </c>
      <c r="J72" s="4">
        <v>22</v>
      </c>
      <c r="K72" s="6">
        <v>1050.2</v>
      </c>
      <c r="L72" s="6">
        <v>13.8</v>
      </c>
      <c r="M72" s="4">
        <v>2.5</v>
      </c>
      <c r="N72" s="8">
        <v>37.7667</v>
      </c>
      <c r="O72" s="8">
        <v>19.0791</v>
      </c>
      <c r="P72" s="8">
        <f t="shared" si="1"/>
        <v>56.845799999999997</v>
      </c>
      <c r="Q72" s="8"/>
      <c r="R72" s="1">
        <v>43.41</v>
      </c>
      <c r="S72" s="1">
        <v>21.93</v>
      </c>
      <c r="T72" s="8">
        <v>65.34</v>
      </c>
      <c r="U72" s="4" t="s">
        <v>218</v>
      </c>
      <c r="V72" s="4" t="s">
        <v>224</v>
      </c>
      <c r="W72" s="4" t="s">
        <v>232</v>
      </c>
      <c r="X72" s="4" t="s">
        <v>232</v>
      </c>
    </row>
    <row r="73" spans="1:24" s="4" customFormat="1" x14ac:dyDescent="0.25">
      <c r="A73" s="4" t="s">
        <v>19</v>
      </c>
      <c r="B73" s="4">
        <v>2019</v>
      </c>
      <c r="C73" s="4" t="s">
        <v>18</v>
      </c>
      <c r="D73" s="4" t="s">
        <v>44</v>
      </c>
      <c r="E73" s="4">
        <v>24</v>
      </c>
      <c r="F73" s="4">
        <v>3</v>
      </c>
      <c r="G73" s="4">
        <v>114</v>
      </c>
      <c r="I73" s="4" t="s">
        <v>232</v>
      </c>
      <c r="J73" s="4" t="s">
        <v>232</v>
      </c>
      <c r="K73" s="6">
        <v>1169.5</v>
      </c>
      <c r="L73" s="6">
        <v>13.2</v>
      </c>
      <c r="M73" s="4">
        <v>2</v>
      </c>
      <c r="N73" s="8">
        <v>37.853699999999996</v>
      </c>
      <c r="O73" s="8">
        <v>18.992099999999997</v>
      </c>
      <c r="P73" s="8">
        <f t="shared" si="1"/>
        <v>56.845799999999997</v>
      </c>
      <c r="Q73" s="8"/>
      <c r="R73" s="1">
        <v>43.51</v>
      </c>
      <c r="S73" s="1">
        <v>21.83</v>
      </c>
      <c r="T73" s="8">
        <v>65.34</v>
      </c>
      <c r="U73" s="4" t="s">
        <v>218</v>
      </c>
      <c r="V73" s="4" t="s">
        <v>224</v>
      </c>
      <c r="W73" s="4" t="s">
        <v>232</v>
      </c>
      <c r="X73" s="4" t="s">
        <v>232</v>
      </c>
    </row>
    <row r="74" spans="1:24" s="4" customFormat="1" x14ac:dyDescent="0.25">
      <c r="A74" s="4" t="s">
        <v>19</v>
      </c>
      <c r="B74" s="4">
        <v>2019</v>
      </c>
      <c r="C74" s="4" t="s">
        <v>18</v>
      </c>
      <c r="D74" s="4" t="s">
        <v>153</v>
      </c>
      <c r="E74" s="4">
        <v>25</v>
      </c>
      <c r="F74" s="4">
        <v>1</v>
      </c>
      <c r="G74" s="4">
        <v>6</v>
      </c>
      <c r="H74" s="4">
        <v>32</v>
      </c>
      <c r="I74" s="4">
        <v>2</v>
      </c>
      <c r="J74" s="4">
        <v>28</v>
      </c>
      <c r="K74" s="6">
        <v>1326.9</v>
      </c>
      <c r="L74" s="6">
        <v>17.3</v>
      </c>
      <c r="M74" s="4">
        <v>2</v>
      </c>
      <c r="N74" s="8">
        <v>38.445299999999996</v>
      </c>
      <c r="O74" s="8">
        <v>19.2531</v>
      </c>
      <c r="P74" s="8">
        <f t="shared" si="1"/>
        <v>57.698399999999992</v>
      </c>
      <c r="Q74" s="8"/>
      <c r="R74" s="1">
        <v>44.19</v>
      </c>
      <c r="S74" s="1">
        <v>22.13</v>
      </c>
      <c r="T74" s="8">
        <v>66.319999999999993</v>
      </c>
      <c r="U74" s="4" t="s">
        <v>218</v>
      </c>
      <c r="V74" s="4" t="s">
        <v>224</v>
      </c>
      <c r="W74" s="4" t="s">
        <v>232</v>
      </c>
      <c r="X74" s="4" t="s">
        <v>232</v>
      </c>
    </row>
    <row r="75" spans="1:24" s="4" customFormat="1" x14ac:dyDescent="0.25">
      <c r="A75" s="4" t="s">
        <v>19</v>
      </c>
      <c r="B75" s="4">
        <v>2019</v>
      </c>
      <c r="C75" s="4" t="s">
        <v>18</v>
      </c>
      <c r="D75" s="4" t="s">
        <v>153</v>
      </c>
      <c r="E75" s="4">
        <v>25</v>
      </c>
      <c r="F75" s="4">
        <v>2</v>
      </c>
      <c r="G75" s="4">
        <v>55</v>
      </c>
      <c r="H75" s="4">
        <v>34</v>
      </c>
      <c r="I75" s="4">
        <v>1.5</v>
      </c>
      <c r="J75" s="4">
        <v>28</v>
      </c>
      <c r="K75" s="6">
        <v>1217.5999999999999</v>
      </c>
      <c r="L75" s="6">
        <v>18.600000000000001</v>
      </c>
      <c r="M75" s="4">
        <v>1.5</v>
      </c>
      <c r="N75" s="8">
        <v>37.853699999999996</v>
      </c>
      <c r="O75" s="8">
        <v>19.618500000000001</v>
      </c>
      <c r="P75" s="8">
        <f t="shared" si="1"/>
        <v>57.472200000000001</v>
      </c>
      <c r="Q75" s="8"/>
      <c r="R75" s="1">
        <v>43.51</v>
      </c>
      <c r="S75" s="1">
        <v>22.55</v>
      </c>
      <c r="T75" s="8">
        <v>66.06</v>
      </c>
      <c r="U75" s="4" t="s">
        <v>218</v>
      </c>
      <c r="V75" s="4" t="s">
        <v>224</v>
      </c>
      <c r="W75" s="4" t="s">
        <v>232</v>
      </c>
      <c r="X75" s="4" t="s">
        <v>232</v>
      </c>
    </row>
    <row r="76" spans="1:24" s="4" customFormat="1" x14ac:dyDescent="0.25">
      <c r="A76" s="5" t="s">
        <v>19</v>
      </c>
      <c r="B76" s="5">
        <v>2019</v>
      </c>
      <c r="C76" s="5" t="s">
        <v>18</v>
      </c>
      <c r="D76" s="5" t="s">
        <v>153</v>
      </c>
      <c r="E76" s="5">
        <v>25</v>
      </c>
      <c r="F76" s="5">
        <v>3</v>
      </c>
      <c r="G76" s="5">
        <v>148</v>
      </c>
      <c r="I76" s="4" t="s">
        <v>232</v>
      </c>
      <c r="J76" s="4" t="s">
        <v>232</v>
      </c>
      <c r="K76" s="6">
        <v>920.9</v>
      </c>
      <c r="L76" s="6">
        <v>16.3</v>
      </c>
      <c r="M76" s="4">
        <v>1.5</v>
      </c>
      <c r="N76" s="8">
        <v>38.462699999999998</v>
      </c>
      <c r="O76" s="8">
        <v>18.765899999999998</v>
      </c>
      <c r="P76" s="8">
        <f t="shared" si="1"/>
        <v>57.2286</v>
      </c>
      <c r="Q76" s="8"/>
      <c r="R76" s="1">
        <v>44.21</v>
      </c>
      <c r="S76" s="1">
        <v>21.57</v>
      </c>
      <c r="T76" s="8">
        <v>65.78</v>
      </c>
      <c r="U76" s="4" t="s">
        <v>218</v>
      </c>
      <c r="V76" s="4" t="s">
        <v>224</v>
      </c>
      <c r="W76" s="4" t="s">
        <v>232</v>
      </c>
      <c r="X76" s="4" t="s">
        <v>232</v>
      </c>
    </row>
    <row r="77" spans="1:24" s="4" customFormat="1" x14ac:dyDescent="0.25">
      <c r="A77" s="5" t="s">
        <v>19</v>
      </c>
      <c r="B77" s="5">
        <v>2019</v>
      </c>
      <c r="C77" s="5" t="s">
        <v>18</v>
      </c>
      <c r="D77" s="5" t="s">
        <v>102</v>
      </c>
      <c r="E77" s="5">
        <v>26</v>
      </c>
      <c r="F77" s="5">
        <v>1</v>
      </c>
      <c r="G77" s="5">
        <v>37</v>
      </c>
      <c r="H77" s="4">
        <v>30</v>
      </c>
      <c r="I77" s="4">
        <v>1</v>
      </c>
      <c r="J77" s="4">
        <v>20</v>
      </c>
      <c r="K77" s="6">
        <v>837.1</v>
      </c>
      <c r="L77" s="6">
        <v>13.7</v>
      </c>
      <c r="M77" s="4">
        <v>2</v>
      </c>
      <c r="N77" s="8">
        <v>38.0625</v>
      </c>
      <c r="O77" s="8">
        <v>19.531499999999998</v>
      </c>
      <c r="P77" s="8">
        <f t="shared" si="1"/>
        <v>57.593999999999994</v>
      </c>
      <c r="Q77" s="8"/>
      <c r="R77" s="1">
        <v>43.75</v>
      </c>
      <c r="S77" s="1">
        <v>22.45</v>
      </c>
      <c r="T77" s="8">
        <v>66.2</v>
      </c>
      <c r="U77" s="4" t="s">
        <v>218</v>
      </c>
      <c r="V77" s="4" t="s">
        <v>224</v>
      </c>
      <c r="W77" s="4" t="s">
        <v>226</v>
      </c>
      <c r="X77" s="4" t="s">
        <v>232</v>
      </c>
    </row>
    <row r="78" spans="1:24" s="4" customFormat="1" x14ac:dyDescent="0.25">
      <c r="A78" s="5" t="s">
        <v>19</v>
      </c>
      <c r="B78" s="5">
        <v>2019</v>
      </c>
      <c r="C78" s="5" t="s">
        <v>18</v>
      </c>
      <c r="D78" s="5" t="s">
        <v>102</v>
      </c>
      <c r="E78" s="5">
        <v>26</v>
      </c>
      <c r="F78" s="5">
        <v>2</v>
      </c>
      <c r="G78" s="5">
        <v>69</v>
      </c>
      <c r="H78" s="4">
        <v>30</v>
      </c>
      <c r="I78" s="4">
        <v>1</v>
      </c>
      <c r="J78" s="4">
        <v>28</v>
      </c>
      <c r="K78" s="6">
        <v>1136.5</v>
      </c>
      <c r="L78" s="6">
        <v>12.9</v>
      </c>
      <c r="M78" s="4">
        <v>1.5</v>
      </c>
      <c r="N78" s="8">
        <v>38.010300000000001</v>
      </c>
      <c r="O78" s="8">
        <v>19.366200000000003</v>
      </c>
      <c r="P78" s="8">
        <f t="shared" si="1"/>
        <v>57.376500000000007</v>
      </c>
      <c r="Q78" s="8"/>
      <c r="R78" s="1">
        <v>43.69</v>
      </c>
      <c r="S78" s="1">
        <v>22.26</v>
      </c>
      <c r="T78" s="8">
        <v>65.95</v>
      </c>
      <c r="U78" s="4" t="s">
        <v>218</v>
      </c>
      <c r="V78" s="4" t="s">
        <v>224</v>
      </c>
      <c r="W78" s="4" t="s">
        <v>232</v>
      </c>
      <c r="X78" s="4" t="s">
        <v>232</v>
      </c>
    </row>
    <row r="79" spans="1:24" s="4" customFormat="1" x14ac:dyDescent="0.25">
      <c r="A79" s="4" t="s">
        <v>19</v>
      </c>
      <c r="B79" s="4">
        <v>2019</v>
      </c>
      <c r="C79" s="4" t="s">
        <v>18</v>
      </c>
      <c r="D79" s="4" t="s">
        <v>102</v>
      </c>
      <c r="E79" s="4">
        <v>26</v>
      </c>
      <c r="F79" s="4">
        <v>3</v>
      </c>
      <c r="G79" s="4">
        <v>135</v>
      </c>
      <c r="I79" s="4" t="s">
        <v>232</v>
      </c>
      <c r="J79" s="4" t="s">
        <v>232</v>
      </c>
      <c r="K79" s="6">
        <v>742.8</v>
      </c>
      <c r="L79" s="6">
        <v>11.4</v>
      </c>
      <c r="M79" s="4">
        <v>2</v>
      </c>
      <c r="N79" s="8">
        <v>38.384399999999999</v>
      </c>
      <c r="O79" s="8">
        <v>18.8094</v>
      </c>
      <c r="P79" s="8">
        <f t="shared" si="1"/>
        <v>57.193799999999996</v>
      </c>
      <c r="Q79" s="8"/>
      <c r="R79" s="1">
        <v>44.12</v>
      </c>
      <c r="S79" s="1">
        <v>21.62</v>
      </c>
      <c r="T79" s="8">
        <v>65.739999999999995</v>
      </c>
      <c r="U79" s="4" t="s">
        <v>218</v>
      </c>
      <c r="V79" s="4" t="s">
        <v>224</v>
      </c>
      <c r="W79" s="4" t="s">
        <v>232</v>
      </c>
      <c r="X79" s="4" t="s">
        <v>232</v>
      </c>
    </row>
    <row r="80" spans="1:24" s="4" customFormat="1" x14ac:dyDescent="0.25">
      <c r="A80" s="5" t="s">
        <v>19</v>
      </c>
      <c r="B80" s="5">
        <v>2019</v>
      </c>
      <c r="C80" s="5" t="s">
        <v>18</v>
      </c>
      <c r="D80" s="5" t="s">
        <v>136</v>
      </c>
      <c r="E80" s="5">
        <v>27</v>
      </c>
      <c r="F80" s="5">
        <v>1</v>
      </c>
      <c r="G80" s="5">
        <v>28</v>
      </c>
      <c r="H80" s="4">
        <v>31</v>
      </c>
      <c r="I80" s="4">
        <v>1</v>
      </c>
      <c r="J80" s="4">
        <v>27</v>
      </c>
      <c r="K80" s="6">
        <v>1281.9000000000001</v>
      </c>
      <c r="L80" s="6">
        <v>14.5</v>
      </c>
      <c r="M80" s="4">
        <v>1.5</v>
      </c>
      <c r="N80" s="8">
        <v>36.992400000000004</v>
      </c>
      <c r="O80" s="8">
        <v>19.183500000000002</v>
      </c>
      <c r="P80" s="8">
        <f t="shared" si="1"/>
        <v>56.175900000000006</v>
      </c>
      <c r="Q80" s="8"/>
      <c r="R80" s="1">
        <v>42.52</v>
      </c>
      <c r="S80" s="1">
        <v>22.05</v>
      </c>
      <c r="T80" s="8">
        <v>64.570000000000007</v>
      </c>
      <c r="U80" s="4" t="s">
        <v>219</v>
      </c>
      <c r="V80" s="4" t="s">
        <v>224</v>
      </c>
      <c r="W80" s="4" t="s">
        <v>232</v>
      </c>
      <c r="X80" s="4" t="s">
        <v>232</v>
      </c>
    </row>
    <row r="81" spans="1:24" s="4" customFormat="1" x14ac:dyDescent="0.25">
      <c r="A81" s="5" t="s">
        <v>19</v>
      </c>
      <c r="B81" s="5">
        <v>2019</v>
      </c>
      <c r="C81" s="5" t="s">
        <v>18</v>
      </c>
      <c r="D81" s="5" t="s">
        <v>136</v>
      </c>
      <c r="E81" s="5">
        <v>27</v>
      </c>
      <c r="F81" s="5">
        <v>2</v>
      </c>
      <c r="G81" s="5">
        <v>83</v>
      </c>
      <c r="H81" s="4">
        <v>33</v>
      </c>
      <c r="I81" s="4">
        <v>1.5</v>
      </c>
      <c r="J81" s="4">
        <v>27</v>
      </c>
      <c r="K81" s="6">
        <v>1149</v>
      </c>
      <c r="L81" s="6">
        <v>14.3</v>
      </c>
      <c r="M81" s="4">
        <v>2</v>
      </c>
      <c r="N81" s="8">
        <v>37.183800000000005</v>
      </c>
      <c r="O81" s="8">
        <v>18.792000000000002</v>
      </c>
      <c r="P81" s="8">
        <f t="shared" si="1"/>
        <v>55.975800000000007</v>
      </c>
      <c r="Q81" s="8"/>
      <c r="R81" s="1">
        <v>42.74</v>
      </c>
      <c r="S81" s="1">
        <v>21.6</v>
      </c>
      <c r="T81" s="8">
        <v>64.34</v>
      </c>
      <c r="U81" s="4" t="s">
        <v>219</v>
      </c>
      <c r="V81" s="4" t="s">
        <v>224</v>
      </c>
      <c r="W81" s="4" t="s">
        <v>232</v>
      </c>
      <c r="X81" s="4" t="s">
        <v>232</v>
      </c>
    </row>
    <row r="82" spans="1:24" s="4" customFormat="1" x14ac:dyDescent="0.25">
      <c r="A82" s="5" t="s">
        <v>19</v>
      </c>
      <c r="B82" s="5">
        <v>2019</v>
      </c>
      <c r="C82" s="5" t="s">
        <v>18</v>
      </c>
      <c r="D82" s="5" t="s">
        <v>136</v>
      </c>
      <c r="E82" s="5">
        <v>27</v>
      </c>
      <c r="F82" s="5">
        <v>3</v>
      </c>
      <c r="G82" s="5">
        <v>133</v>
      </c>
      <c r="I82" s="4" t="s">
        <v>232</v>
      </c>
      <c r="J82" s="4" t="s">
        <v>232</v>
      </c>
      <c r="K82" s="6">
        <v>793.8</v>
      </c>
      <c r="L82" s="6">
        <v>14.6</v>
      </c>
      <c r="M82" s="4">
        <v>2</v>
      </c>
      <c r="N82" s="8">
        <v>36.392099999999999</v>
      </c>
      <c r="O82" s="8">
        <v>19.322700000000001</v>
      </c>
      <c r="P82" s="8">
        <f t="shared" si="1"/>
        <v>55.714799999999997</v>
      </c>
      <c r="Q82" s="8"/>
      <c r="R82" s="1">
        <v>41.83</v>
      </c>
      <c r="S82" s="1">
        <v>22.21</v>
      </c>
      <c r="T82" s="8">
        <v>64.039999999999992</v>
      </c>
      <c r="U82" s="4" t="s">
        <v>219</v>
      </c>
      <c r="V82" s="4" t="s">
        <v>224</v>
      </c>
      <c r="W82" s="4" t="s">
        <v>221</v>
      </c>
      <c r="X82" s="4" t="s">
        <v>232</v>
      </c>
    </row>
    <row r="83" spans="1:24" s="4" customFormat="1" x14ac:dyDescent="0.25">
      <c r="A83" s="4" t="s">
        <v>19</v>
      </c>
      <c r="B83" s="4">
        <v>2019</v>
      </c>
      <c r="C83" s="4" t="s">
        <v>18</v>
      </c>
      <c r="D83" s="4" t="s">
        <v>156</v>
      </c>
      <c r="E83" s="4">
        <v>28</v>
      </c>
      <c r="F83" s="4">
        <v>1</v>
      </c>
      <c r="G83" s="4">
        <v>5</v>
      </c>
      <c r="H83" s="4">
        <v>30</v>
      </c>
      <c r="I83" s="4">
        <v>1</v>
      </c>
      <c r="J83" s="4">
        <v>23</v>
      </c>
      <c r="K83" s="6">
        <v>1279.5999999999999</v>
      </c>
      <c r="L83" s="6">
        <v>16.600000000000001</v>
      </c>
      <c r="M83" s="4">
        <v>2</v>
      </c>
      <c r="N83" s="8">
        <v>36.244199999999999</v>
      </c>
      <c r="O83" s="8">
        <v>20.062199999999997</v>
      </c>
      <c r="P83" s="8">
        <f t="shared" si="1"/>
        <v>56.306399999999996</v>
      </c>
      <c r="Q83" s="8"/>
      <c r="R83" s="1">
        <v>41.66</v>
      </c>
      <c r="S83" s="1">
        <v>23.06</v>
      </c>
      <c r="T83" s="8">
        <v>64.72</v>
      </c>
      <c r="U83" s="4" t="s">
        <v>219</v>
      </c>
      <c r="V83" s="4" t="s">
        <v>223</v>
      </c>
      <c r="W83" s="4" t="s">
        <v>232</v>
      </c>
      <c r="X83" s="4" t="s">
        <v>232</v>
      </c>
    </row>
    <row r="84" spans="1:24" s="4" customFormat="1" x14ac:dyDescent="0.25">
      <c r="A84" s="5" t="s">
        <v>19</v>
      </c>
      <c r="B84" s="5">
        <v>2019</v>
      </c>
      <c r="C84" s="5" t="s">
        <v>18</v>
      </c>
      <c r="D84" s="5" t="s">
        <v>156</v>
      </c>
      <c r="E84" s="5">
        <v>28</v>
      </c>
      <c r="F84" s="5">
        <v>2</v>
      </c>
      <c r="G84" s="5">
        <v>97</v>
      </c>
      <c r="H84" s="4">
        <v>32</v>
      </c>
      <c r="I84" s="4">
        <v>1</v>
      </c>
      <c r="J84" s="4">
        <v>24</v>
      </c>
      <c r="K84" s="6">
        <v>1222.9000000000001</v>
      </c>
      <c r="L84" s="6">
        <v>16.399999999999999</v>
      </c>
      <c r="M84" s="4">
        <v>1.5</v>
      </c>
      <c r="N84" s="8">
        <v>37.149000000000001</v>
      </c>
      <c r="O84" s="8">
        <v>19.348799999999997</v>
      </c>
      <c r="P84" s="8">
        <f t="shared" si="1"/>
        <v>56.497799999999998</v>
      </c>
      <c r="Q84" s="8"/>
      <c r="R84" s="1">
        <v>42.7</v>
      </c>
      <c r="S84" s="1">
        <v>22.24</v>
      </c>
      <c r="T84" s="8">
        <v>64.94</v>
      </c>
      <c r="U84" s="4" t="s">
        <v>219</v>
      </c>
      <c r="V84" s="4" t="s">
        <v>223</v>
      </c>
      <c r="W84" s="4" t="s">
        <v>232</v>
      </c>
      <c r="X84" s="4" t="s">
        <v>232</v>
      </c>
    </row>
    <row r="85" spans="1:24" s="4" customFormat="1" x14ac:dyDescent="0.25">
      <c r="A85" s="4" t="s">
        <v>19</v>
      </c>
      <c r="B85" s="4">
        <v>2019</v>
      </c>
      <c r="C85" s="4" t="s">
        <v>18</v>
      </c>
      <c r="D85" s="4" t="s">
        <v>156</v>
      </c>
      <c r="E85" s="4">
        <v>28</v>
      </c>
      <c r="F85" s="4">
        <v>3</v>
      </c>
      <c r="G85" s="4">
        <v>145</v>
      </c>
      <c r="I85" s="4" t="s">
        <v>232</v>
      </c>
      <c r="J85" s="4" t="s">
        <v>232</v>
      </c>
      <c r="K85" s="6">
        <v>772</v>
      </c>
      <c r="L85" s="6">
        <v>14.2</v>
      </c>
      <c r="M85" s="4">
        <v>2</v>
      </c>
      <c r="N85" s="8">
        <v>36.400800000000004</v>
      </c>
      <c r="O85" s="8">
        <v>19.775100000000002</v>
      </c>
      <c r="P85" s="8">
        <f t="shared" si="1"/>
        <v>56.175900000000006</v>
      </c>
      <c r="Q85" s="8"/>
      <c r="R85" s="1">
        <v>41.84</v>
      </c>
      <c r="S85" s="1">
        <v>22.73</v>
      </c>
      <c r="T85" s="8">
        <v>64.570000000000007</v>
      </c>
      <c r="U85" s="4" t="s">
        <v>219</v>
      </c>
      <c r="V85" s="4" t="s">
        <v>223</v>
      </c>
      <c r="W85" s="4" t="s">
        <v>232</v>
      </c>
      <c r="X85" s="4" t="s">
        <v>232</v>
      </c>
    </row>
    <row r="86" spans="1:24" s="4" customFormat="1" x14ac:dyDescent="0.25">
      <c r="A86" s="4" t="s">
        <v>19</v>
      </c>
      <c r="B86" s="4">
        <v>2019</v>
      </c>
      <c r="C86" s="4" t="s">
        <v>18</v>
      </c>
      <c r="D86" s="4" t="s">
        <v>23</v>
      </c>
      <c r="E86" s="4">
        <v>29</v>
      </c>
      <c r="F86" s="4">
        <v>1</v>
      </c>
      <c r="G86" s="4">
        <v>46</v>
      </c>
      <c r="H86" s="4">
        <v>30</v>
      </c>
      <c r="I86" s="4">
        <v>1.5</v>
      </c>
      <c r="J86" s="4">
        <v>29</v>
      </c>
      <c r="K86" s="6">
        <v>1266.2</v>
      </c>
      <c r="L86" s="6">
        <v>13.9</v>
      </c>
      <c r="M86" s="4">
        <v>2</v>
      </c>
      <c r="N86" s="8">
        <v>38.488800000000005</v>
      </c>
      <c r="O86" s="8">
        <v>19.183500000000002</v>
      </c>
      <c r="P86" s="8">
        <f t="shared" si="1"/>
        <v>57.672300000000007</v>
      </c>
      <c r="Q86" s="8"/>
      <c r="R86" s="1">
        <v>44.24</v>
      </c>
      <c r="S86" s="1">
        <v>22.05</v>
      </c>
      <c r="T86" s="8">
        <v>66.290000000000006</v>
      </c>
      <c r="U86" s="4" t="s">
        <v>218</v>
      </c>
      <c r="V86" s="4" t="s">
        <v>224</v>
      </c>
      <c r="W86" s="4" t="s">
        <v>232</v>
      </c>
      <c r="X86" s="4" t="s">
        <v>232</v>
      </c>
    </row>
    <row r="87" spans="1:24" s="4" customFormat="1" x14ac:dyDescent="0.25">
      <c r="A87" s="5" t="s">
        <v>19</v>
      </c>
      <c r="B87" s="5">
        <v>2019</v>
      </c>
      <c r="C87" s="5" t="s">
        <v>18</v>
      </c>
      <c r="D87" s="5" t="s">
        <v>23</v>
      </c>
      <c r="E87" s="5">
        <v>29</v>
      </c>
      <c r="F87" s="5">
        <v>2</v>
      </c>
      <c r="G87" s="5">
        <v>100</v>
      </c>
      <c r="H87" s="4">
        <v>30</v>
      </c>
      <c r="I87" s="4">
        <v>1.5</v>
      </c>
      <c r="J87" s="4">
        <v>28</v>
      </c>
      <c r="K87" s="6">
        <v>1032.8</v>
      </c>
      <c r="L87" s="6">
        <v>12.1</v>
      </c>
      <c r="M87" s="4">
        <v>1.5</v>
      </c>
      <c r="N87" s="8">
        <v>37.2273</v>
      </c>
      <c r="O87" s="8">
        <v>19.992599999999999</v>
      </c>
      <c r="P87" s="8">
        <f t="shared" si="1"/>
        <v>57.219899999999996</v>
      </c>
      <c r="Q87" s="8"/>
      <c r="R87" s="1">
        <v>42.79</v>
      </c>
      <c r="S87" s="1">
        <v>22.98</v>
      </c>
      <c r="T87" s="8">
        <v>65.77</v>
      </c>
      <c r="U87" s="4" t="s">
        <v>218</v>
      </c>
      <c r="V87" s="4" t="s">
        <v>224</v>
      </c>
      <c r="W87" s="4" t="s">
        <v>227</v>
      </c>
      <c r="X87" s="4" t="s">
        <v>232</v>
      </c>
    </row>
    <row r="88" spans="1:24" s="4" customFormat="1" x14ac:dyDescent="0.25">
      <c r="A88" s="5" t="s">
        <v>19</v>
      </c>
      <c r="B88" s="5">
        <v>2019</v>
      </c>
      <c r="C88" s="5" t="s">
        <v>18</v>
      </c>
      <c r="D88" s="5" t="s">
        <v>23</v>
      </c>
      <c r="E88" s="5">
        <v>29</v>
      </c>
      <c r="F88" s="5">
        <v>3</v>
      </c>
      <c r="G88" s="5">
        <v>101</v>
      </c>
      <c r="I88" s="4" t="s">
        <v>232</v>
      </c>
      <c r="J88" s="4" t="s">
        <v>232</v>
      </c>
      <c r="K88" s="6">
        <v>729.1</v>
      </c>
      <c r="L88" s="6">
        <v>12.9</v>
      </c>
      <c r="M88" s="4">
        <v>2.5</v>
      </c>
      <c r="N88" s="8">
        <v>38.845500000000001</v>
      </c>
      <c r="O88" s="8">
        <v>19.070400000000003</v>
      </c>
      <c r="P88" s="8">
        <f t="shared" si="1"/>
        <v>57.915900000000008</v>
      </c>
      <c r="Q88" s="8"/>
      <c r="R88" s="1">
        <v>44.65</v>
      </c>
      <c r="S88" s="1">
        <v>21.92</v>
      </c>
      <c r="T88" s="8">
        <v>66.569999999999993</v>
      </c>
      <c r="U88" s="4" t="s">
        <v>218</v>
      </c>
      <c r="V88" s="4" t="s">
        <v>224</v>
      </c>
      <c r="W88" s="4" t="s">
        <v>232</v>
      </c>
      <c r="X88" s="4" t="s">
        <v>232</v>
      </c>
    </row>
    <row r="89" spans="1:24" s="4" customFormat="1" x14ac:dyDescent="0.25">
      <c r="A89" s="4" t="s">
        <v>19</v>
      </c>
      <c r="B89" s="4">
        <v>2019</v>
      </c>
      <c r="C89" s="4" t="s">
        <v>18</v>
      </c>
      <c r="D89" s="4" t="s">
        <v>80</v>
      </c>
      <c r="E89" s="4">
        <v>30</v>
      </c>
      <c r="F89" s="4">
        <v>1</v>
      </c>
      <c r="G89" s="4">
        <v>15</v>
      </c>
      <c r="H89" s="4">
        <v>30</v>
      </c>
      <c r="I89" s="4">
        <v>1.5</v>
      </c>
      <c r="J89" s="4">
        <v>28</v>
      </c>
      <c r="K89" s="6">
        <v>1342.5</v>
      </c>
      <c r="L89" s="6">
        <v>13.5</v>
      </c>
      <c r="M89" s="4">
        <v>1.5</v>
      </c>
      <c r="N89" s="8">
        <v>37.462200000000003</v>
      </c>
      <c r="O89" s="8">
        <v>19.653300000000002</v>
      </c>
      <c r="P89" s="8">
        <f t="shared" si="1"/>
        <v>57.115500000000004</v>
      </c>
      <c r="Q89" s="8"/>
      <c r="R89" s="1">
        <v>43.06</v>
      </c>
      <c r="S89" s="1">
        <v>22.59</v>
      </c>
      <c r="T89" s="8">
        <v>65.650000000000006</v>
      </c>
      <c r="U89" s="4" t="s">
        <v>218</v>
      </c>
      <c r="V89" s="4" t="s">
        <v>224</v>
      </c>
      <c r="W89" s="4" t="s">
        <v>232</v>
      </c>
      <c r="X89" s="4" t="s">
        <v>232</v>
      </c>
    </row>
    <row r="90" spans="1:24" s="4" customFormat="1" x14ac:dyDescent="0.25">
      <c r="A90" s="4" t="s">
        <v>19</v>
      </c>
      <c r="B90" s="4">
        <v>2019</v>
      </c>
      <c r="C90" s="4" t="s">
        <v>18</v>
      </c>
      <c r="D90" s="4" t="s">
        <v>80</v>
      </c>
      <c r="E90" s="4">
        <v>30</v>
      </c>
      <c r="F90" s="4">
        <v>2</v>
      </c>
      <c r="G90" s="4">
        <v>57</v>
      </c>
      <c r="H90" s="4">
        <v>30</v>
      </c>
      <c r="I90" s="4">
        <v>1.5</v>
      </c>
      <c r="J90" s="4">
        <v>25</v>
      </c>
      <c r="K90" s="6">
        <v>1415.8</v>
      </c>
      <c r="L90" s="6">
        <v>13.9</v>
      </c>
      <c r="M90" s="4">
        <v>1.5</v>
      </c>
      <c r="N90" s="8">
        <v>37.879799999999996</v>
      </c>
      <c r="O90" s="8">
        <v>19.1313</v>
      </c>
      <c r="P90" s="8">
        <f t="shared" si="1"/>
        <v>57.011099999999999</v>
      </c>
      <c r="Q90" s="8"/>
      <c r="R90" s="1">
        <v>43.54</v>
      </c>
      <c r="S90" s="1">
        <v>21.99</v>
      </c>
      <c r="T90" s="8">
        <v>65.53</v>
      </c>
      <c r="U90" s="4" t="s">
        <v>218</v>
      </c>
      <c r="V90" s="4" t="s">
        <v>224</v>
      </c>
      <c r="W90" s="4" t="s">
        <v>232</v>
      </c>
      <c r="X90" s="4" t="s">
        <v>232</v>
      </c>
    </row>
    <row r="91" spans="1:24" s="4" customFormat="1" x14ac:dyDescent="0.25">
      <c r="A91" s="5" t="s">
        <v>19</v>
      </c>
      <c r="B91" s="5">
        <v>2019</v>
      </c>
      <c r="C91" s="5" t="s">
        <v>18</v>
      </c>
      <c r="D91" s="5" t="s">
        <v>80</v>
      </c>
      <c r="E91" s="5">
        <v>30</v>
      </c>
      <c r="F91" s="5">
        <v>3</v>
      </c>
      <c r="G91" s="5">
        <v>142</v>
      </c>
      <c r="I91" s="4" t="s">
        <v>232</v>
      </c>
      <c r="J91" s="4" t="s">
        <v>232</v>
      </c>
      <c r="K91" s="6">
        <v>790.7</v>
      </c>
      <c r="L91" s="6">
        <v>11.6</v>
      </c>
      <c r="M91" s="4">
        <v>2</v>
      </c>
      <c r="N91" s="8">
        <v>37.166399999999996</v>
      </c>
      <c r="O91" s="8">
        <v>18.939899999999998</v>
      </c>
      <c r="P91" s="8">
        <f t="shared" si="1"/>
        <v>56.10629999999999</v>
      </c>
      <c r="Q91" s="8"/>
      <c r="R91" s="1">
        <v>42.72</v>
      </c>
      <c r="S91" s="1">
        <v>21.77</v>
      </c>
      <c r="T91" s="8">
        <v>64.489999999999995</v>
      </c>
      <c r="U91" s="4" t="s">
        <v>218</v>
      </c>
      <c r="V91" s="4" t="s">
        <v>224</v>
      </c>
      <c r="W91" s="4" t="s">
        <v>232</v>
      </c>
      <c r="X91" s="4" t="s">
        <v>232</v>
      </c>
    </row>
    <row r="92" spans="1:24" s="4" customFormat="1" x14ac:dyDescent="0.25">
      <c r="A92" s="4" t="s">
        <v>19</v>
      </c>
      <c r="B92" s="4">
        <v>2019</v>
      </c>
      <c r="C92" s="4" t="s">
        <v>18</v>
      </c>
      <c r="D92" s="4" t="s">
        <v>60</v>
      </c>
      <c r="E92" s="4">
        <v>31</v>
      </c>
      <c r="F92" s="4">
        <v>1</v>
      </c>
      <c r="G92" s="4">
        <v>25</v>
      </c>
      <c r="H92" s="4">
        <v>30</v>
      </c>
      <c r="I92" s="4">
        <v>1.5</v>
      </c>
      <c r="J92" s="4">
        <v>28</v>
      </c>
      <c r="K92" s="6">
        <v>1305.4000000000001</v>
      </c>
      <c r="L92" s="6">
        <v>17.8</v>
      </c>
      <c r="M92" s="4">
        <v>1</v>
      </c>
      <c r="N92" s="8">
        <v>37.453499999999998</v>
      </c>
      <c r="O92" s="8">
        <v>19.470599999999997</v>
      </c>
      <c r="P92" s="8">
        <f t="shared" si="1"/>
        <v>56.924099999999996</v>
      </c>
      <c r="Q92" s="8"/>
      <c r="R92" s="1">
        <v>43.05</v>
      </c>
      <c r="S92" s="1">
        <v>22.38</v>
      </c>
      <c r="T92" s="8">
        <v>65.429999999999993</v>
      </c>
      <c r="U92" s="4" t="s">
        <v>218</v>
      </c>
      <c r="V92" s="4" t="s">
        <v>224</v>
      </c>
      <c r="W92" s="4" t="s">
        <v>232</v>
      </c>
      <c r="X92" s="4" t="s">
        <v>232</v>
      </c>
    </row>
    <row r="93" spans="1:24" s="4" customFormat="1" x14ac:dyDescent="0.25">
      <c r="A93" s="5" t="s">
        <v>19</v>
      </c>
      <c r="B93" s="5">
        <v>2019</v>
      </c>
      <c r="C93" s="5" t="s">
        <v>18</v>
      </c>
      <c r="D93" s="5" t="s">
        <v>60</v>
      </c>
      <c r="E93" s="5">
        <v>31</v>
      </c>
      <c r="F93" s="5">
        <v>2</v>
      </c>
      <c r="G93" s="5">
        <v>90</v>
      </c>
      <c r="H93" s="4">
        <v>30</v>
      </c>
      <c r="I93" s="4">
        <v>1.5</v>
      </c>
      <c r="J93" s="4">
        <v>25</v>
      </c>
      <c r="K93" s="6">
        <v>806.4</v>
      </c>
      <c r="L93" s="6">
        <v>19.399999999999999</v>
      </c>
      <c r="M93" s="4">
        <v>1</v>
      </c>
      <c r="N93" s="8">
        <v>38.097299999999997</v>
      </c>
      <c r="O93" s="8">
        <v>19.401</v>
      </c>
      <c r="P93" s="8">
        <f t="shared" si="1"/>
        <v>57.4983</v>
      </c>
      <c r="Q93" s="8"/>
      <c r="R93" s="1">
        <v>43.79</v>
      </c>
      <c r="S93" s="1">
        <v>22.3</v>
      </c>
      <c r="T93" s="8">
        <v>66.09</v>
      </c>
      <c r="U93" s="4" t="s">
        <v>218</v>
      </c>
      <c r="V93" s="4" t="s">
        <v>224</v>
      </c>
      <c r="W93" s="4" t="s">
        <v>232</v>
      </c>
      <c r="X93" s="4" t="s">
        <v>232</v>
      </c>
    </row>
    <row r="94" spans="1:24" s="4" customFormat="1" x14ac:dyDescent="0.25">
      <c r="A94" s="4" t="s">
        <v>19</v>
      </c>
      <c r="B94" s="4">
        <v>2019</v>
      </c>
      <c r="C94" s="4" t="s">
        <v>18</v>
      </c>
      <c r="D94" s="4" t="s">
        <v>60</v>
      </c>
      <c r="E94" s="4">
        <v>31</v>
      </c>
      <c r="F94" s="4">
        <v>3</v>
      </c>
      <c r="G94" s="4">
        <v>126</v>
      </c>
      <c r="I94" s="4" t="s">
        <v>232</v>
      </c>
      <c r="J94" s="4" t="s">
        <v>232</v>
      </c>
      <c r="K94" s="6">
        <v>980.9</v>
      </c>
      <c r="L94" s="6">
        <v>17.7</v>
      </c>
      <c r="M94" s="4">
        <v>1.5</v>
      </c>
      <c r="N94" s="8">
        <v>36.104999999999997</v>
      </c>
      <c r="O94" s="8">
        <v>19.662000000000003</v>
      </c>
      <c r="P94" s="8">
        <f t="shared" si="1"/>
        <v>55.766999999999996</v>
      </c>
      <c r="Q94" s="8"/>
      <c r="R94" s="1">
        <v>41.5</v>
      </c>
      <c r="S94" s="1">
        <v>22.6</v>
      </c>
      <c r="T94" s="8">
        <v>64.099999999999994</v>
      </c>
      <c r="U94" s="4" t="s">
        <v>218</v>
      </c>
      <c r="V94" s="4" t="s">
        <v>224</v>
      </c>
      <c r="W94" s="4" t="s">
        <v>232</v>
      </c>
      <c r="X94" s="4" t="s">
        <v>232</v>
      </c>
    </row>
    <row r="95" spans="1:24" s="4" customFormat="1" x14ac:dyDescent="0.25">
      <c r="A95" s="5" t="s">
        <v>19</v>
      </c>
      <c r="B95" s="5">
        <v>2019</v>
      </c>
      <c r="C95" s="5" t="s">
        <v>18</v>
      </c>
      <c r="D95" s="5" t="s">
        <v>31</v>
      </c>
      <c r="E95" s="5">
        <v>32</v>
      </c>
      <c r="F95" s="5">
        <v>1</v>
      </c>
      <c r="G95" s="5">
        <v>11</v>
      </c>
      <c r="H95" s="4">
        <v>30</v>
      </c>
      <c r="I95" s="4">
        <v>2</v>
      </c>
      <c r="J95" s="4">
        <v>42</v>
      </c>
      <c r="K95" s="6">
        <v>638.29999999999995</v>
      </c>
      <c r="L95" s="6">
        <v>15.9</v>
      </c>
      <c r="M95" s="4">
        <v>2</v>
      </c>
      <c r="N95" s="8">
        <v>37.2273</v>
      </c>
      <c r="O95" s="8">
        <v>19.566299999999998</v>
      </c>
      <c r="P95" s="8">
        <f t="shared" si="1"/>
        <v>56.793599999999998</v>
      </c>
      <c r="Q95" s="8"/>
      <c r="R95" s="1">
        <v>42.79</v>
      </c>
      <c r="S95" s="1">
        <v>22.49</v>
      </c>
      <c r="T95" s="8">
        <v>65.28</v>
      </c>
      <c r="U95" s="4" t="s">
        <v>218</v>
      </c>
      <c r="V95" s="4" t="s">
        <v>224</v>
      </c>
      <c r="W95" s="4" t="s">
        <v>232</v>
      </c>
      <c r="X95" s="4" t="s">
        <v>232</v>
      </c>
    </row>
    <row r="96" spans="1:24" s="4" customFormat="1" x14ac:dyDescent="0.25">
      <c r="A96" s="5" t="s">
        <v>19</v>
      </c>
      <c r="B96" s="5">
        <v>2019</v>
      </c>
      <c r="C96" s="5" t="s">
        <v>18</v>
      </c>
      <c r="D96" s="5" t="s">
        <v>31</v>
      </c>
      <c r="E96" s="5">
        <v>32</v>
      </c>
      <c r="F96" s="5">
        <v>2</v>
      </c>
      <c r="G96" s="5">
        <v>52</v>
      </c>
      <c r="H96" s="4">
        <v>30</v>
      </c>
      <c r="I96" s="4">
        <v>2</v>
      </c>
      <c r="J96" s="4">
        <v>42</v>
      </c>
      <c r="K96" s="6">
        <v>1128</v>
      </c>
      <c r="L96" s="6">
        <v>20.9</v>
      </c>
      <c r="M96" s="4">
        <v>1</v>
      </c>
      <c r="N96" s="8">
        <v>37.114199999999997</v>
      </c>
      <c r="O96" s="8">
        <v>19.5489</v>
      </c>
      <c r="P96" s="8">
        <f t="shared" si="1"/>
        <v>56.6631</v>
      </c>
      <c r="Q96" s="8"/>
      <c r="R96" s="1">
        <v>42.66</v>
      </c>
      <c r="S96" s="1">
        <v>22.47</v>
      </c>
      <c r="T96" s="8">
        <v>65.13</v>
      </c>
      <c r="U96" s="4" t="s">
        <v>218</v>
      </c>
      <c r="V96" s="4" t="s">
        <v>224</v>
      </c>
      <c r="W96" s="4" t="s">
        <v>232</v>
      </c>
      <c r="X96" s="4" t="s">
        <v>232</v>
      </c>
    </row>
    <row r="97" spans="1:24" s="4" customFormat="1" x14ac:dyDescent="0.25">
      <c r="A97" s="5" t="s">
        <v>19</v>
      </c>
      <c r="B97" s="5">
        <v>2019</v>
      </c>
      <c r="C97" s="5" t="s">
        <v>18</v>
      </c>
      <c r="D97" s="5" t="s">
        <v>31</v>
      </c>
      <c r="E97" s="5">
        <v>32</v>
      </c>
      <c r="F97" s="5">
        <v>3</v>
      </c>
      <c r="G97" s="5">
        <v>120</v>
      </c>
      <c r="I97" s="4" t="s">
        <v>232</v>
      </c>
      <c r="J97" s="4" t="s">
        <v>232</v>
      </c>
      <c r="K97" s="6">
        <v>267.10000000000002</v>
      </c>
      <c r="L97" s="6">
        <v>14.3</v>
      </c>
      <c r="M97" s="4">
        <v>2.5</v>
      </c>
      <c r="N97" s="8">
        <v>38.628</v>
      </c>
      <c r="O97" s="8">
        <v>18.287399999999998</v>
      </c>
      <c r="P97" s="8">
        <f t="shared" si="1"/>
        <v>56.915399999999998</v>
      </c>
      <c r="Q97" s="8"/>
      <c r="R97" s="1">
        <v>44.4</v>
      </c>
      <c r="S97" s="1">
        <v>21.02</v>
      </c>
      <c r="T97" s="8">
        <v>65.42</v>
      </c>
      <c r="U97" s="4" t="s">
        <v>218</v>
      </c>
      <c r="V97" s="4" t="s">
        <v>224</v>
      </c>
      <c r="W97" s="4" t="s">
        <v>232</v>
      </c>
      <c r="X97" s="4" t="s">
        <v>232</v>
      </c>
    </row>
    <row r="98" spans="1:24" s="4" customFormat="1" x14ac:dyDescent="0.25">
      <c r="A98" s="5" t="s">
        <v>19</v>
      </c>
      <c r="B98" s="5">
        <v>2019</v>
      </c>
      <c r="C98" s="5" t="s">
        <v>18</v>
      </c>
      <c r="D98" s="5" t="s">
        <v>17</v>
      </c>
      <c r="E98" s="5">
        <v>33</v>
      </c>
      <c r="F98" s="5">
        <v>1</v>
      </c>
      <c r="G98" s="5">
        <v>1</v>
      </c>
      <c r="H98" s="4">
        <v>30</v>
      </c>
      <c r="I98" s="4">
        <v>1</v>
      </c>
      <c r="J98" s="4">
        <v>12</v>
      </c>
      <c r="K98" s="6">
        <v>1333.1</v>
      </c>
      <c r="L98" s="6">
        <v>15.3</v>
      </c>
      <c r="M98" s="4">
        <v>1.5</v>
      </c>
      <c r="N98" s="8">
        <v>35.887500000000003</v>
      </c>
      <c r="O98" s="8">
        <v>19.401</v>
      </c>
      <c r="P98" s="8">
        <f t="shared" si="1"/>
        <v>55.288499999999999</v>
      </c>
      <c r="Q98" s="8"/>
      <c r="R98" s="1">
        <v>41.25</v>
      </c>
      <c r="S98" s="1">
        <v>22.3</v>
      </c>
      <c r="T98" s="8">
        <v>63.55</v>
      </c>
      <c r="U98" s="4" t="s">
        <v>218</v>
      </c>
      <c r="V98" s="4" t="s">
        <v>223</v>
      </c>
      <c r="W98" s="4" t="s">
        <v>232</v>
      </c>
      <c r="X98" s="4" t="s">
        <v>232</v>
      </c>
    </row>
    <row r="99" spans="1:24" s="4" customFormat="1" x14ac:dyDescent="0.25">
      <c r="A99" s="5" t="s">
        <v>19</v>
      </c>
      <c r="B99" s="5">
        <v>2019</v>
      </c>
      <c r="C99" s="5" t="s">
        <v>18</v>
      </c>
      <c r="D99" s="5" t="s">
        <v>17</v>
      </c>
      <c r="E99" s="5">
        <v>33</v>
      </c>
      <c r="F99" s="5">
        <v>2</v>
      </c>
      <c r="G99" s="5">
        <v>63</v>
      </c>
      <c r="H99" s="4">
        <v>30</v>
      </c>
      <c r="I99" s="4">
        <v>1</v>
      </c>
      <c r="J99" s="4">
        <v>19</v>
      </c>
      <c r="K99" s="6">
        <v>1039.2</v>
      </c>
      <c r="L99" s="6">
        <v>16.3</v>
      </c>
      <c r="M99" s="4">
        <v>2</v>
      </c>
      <c r="N99" s="8">
        <v>36.270299999999999</v>
      </c>
      <c r="O99" s="8">
        <v>19.14</v>
      </c>
      <c r="P99" s="8">
        <f t="shared" si="1"/>
        <v>55.410299999999999</v>
      </c>
      <c r="Q99" s="8"/>
      <c r="R99" s="1">
        <v>41.69</v>
      </c>
      <c r="S99" s="1">
        <v>22</v>
      </c>
      <c r="T99" s="8">
        <v>63.69</v>
      </c>
      <c r="U99" s="4" t="s">
        <v>218</v>
      </c>
      <c r="V99" s="4" t="s">
        <v>223</v>
      </c>
      <c r="W99" s="4" t="s">
        <v>232</v>
      </c>
      <c r="X99" s="4" t="s">
        <v>232</v>
      </c>
    </row>
    <row r="100" spans="1:24" s="4" customFormat="1" x14ac:dyDescent="0.25">
      <c r="A100" s="5" t="s">
        <v>19</v>
      </c>
      <c r="B100" s="5">
        <v>2019</v>
      </c>
      <c r="C100" s="5" t="s">
        <v>18</v>
      </c>
      <c r="D100" s="5" t="s">
        <v>17</v>
      </c>
      <c r="E100" s="5">
        <v>33</v>
      </c>
      <c r="F100" s="5">
        <v>3</v>
      </c>
      <c r="G100" s="5">
        <v>129</v>
      </c>
      <c r="I100" s="4" t="s">
        <v>232</v>
      </c>
      <c r="J100" s="4" t="s">
        <v>232</v>
      </c>
      <c r="K100" s="6">
        <v>540.20000000000005</v>
      </c>
      <c r="L100" s="6">
        <v>13.9</v>
      </c>
      <c r="M100" s="4">
        <v>3</v>
      </c>
      <c r="N100" s="8">
        <v>38.610600000000005</v>
      </c>
      <c r="O100" s="8">
        <v>18.609300000000001</v>
      </c>
      <c r="P100" s="8">
        <f t="shared" si="1"/>
        <v>57.21990000000001</v>
      </c>
      <c r="Q100" s="8"/>
      <c r="R100" s="1">
        <v>44.38</v>
      </c>
      <c r="S100" s="1">
        <v>21.39</v>
      </c>
      <c r="T100" s="8">
        <v>65.77000000000001</v>
      </c>
      <c r="U100" s="4" t="s">
        <v>218</v>
      </c>
      <c r="V100" s="4" t="s">
        <v>223</v>
      </c>
      <c r="W100" s="4" t="s">
        <v>232</v>
      </c>
      <c r="X100" s="4" t="s">
        <v>230</v>
      </c>
    </row>
    <row r="101" spans="1:24" s="4" customFormat="1" x14ac:dyDescent="0.25">
      <c r="A101" s="5" t="s">
        <v>19</v>
      </c>
      <c r="B101" s="5">
        <v>2019</v>
      </c>
      <c r="C101" s="5" t="s">
        <v>18</v>
      </c>
      <c r="D101" s="5" t="s">
        <v>48</v>
      </c>
      <c r="E101" s="5">
        <v>34</v>
      </c>
      <c r="F101" s="5">
        <v>1</v>
      </c>
      <c r="G101" s="5">
        <v>30</v>
      </c>
      <c r="H101" s="4">
        <v>30</v>
      </c>
      <c r="I101" s="4">
        <v>1</v>
      </c>
      <c r="J101" s="4">
        <v>24</v>
      </c>
      <c r="K101" s="6">
        <v>1018.5</v>
      </c>
      <c r="L101" s="6">
        <v>15.1</v>
      </c>
      <c r="M101" s="4">
        <v>2.5</v>
      </c>
      <c r="N101" s="8">
        <v>37.418700000000001</v>
      </c>
      <c r="O101" s="8">
        <v>18.992099999999997</v>
      </c>
      <c r="P101" s="8">
        <f t="shared" si="1"/>
        <v>56.410799999999995</v>
      </c>
      <c r="Q101" s="8"/>
      <c r="R101" s="1">
        <v>43.01</v>
      </c>
      <c r="S101" s="1">
        <v>21.83</v>
      </c>
      <c r="T101" s="8">
        <v>64.84</v>
      </c>
      <c r="U101" s="4" t="s">
        <v>218</v>
      </c>
      <c r="V101" s="4" t="s">
        <v>223</v>
      </c>
      <c r="W101" s="4" t="s">
        <v>232</v>
      </c>
      <c r="X101" s="4" t="s">
        <v>232</v>
      </c>
    </row>
    <row r="102" spans="1:24" s="4" customFormat="1" x14ac:dyDescent="0.25">
      <c r="A102" s="4" t="s">
        <v>19</v>
      </c>
      <c r="B102" s="4">
        <v>2019</v>
      </c>
      <c r="C102" s="4" t="s">
        <v>18</v>
      </c>
      <c r="D102" s="4" t="s">
        <v>48</v>
      </c>
      <c r="E102" s="4">
        <v>34</v>
      </c>
      <c r="F102" s="4">
        <v>2</v>
      </c>
      <c r="G102" s="4">
        <v>65</v>
      </c>
      <c r="H102" s="4">
        <v>32</v>
      </c>
      <c r="I102" s="4">
        <v>1.5</v>
      </c>
      <c r="J102" s="4">
        <v>22</v>
      </c>
      <c r="K102" s="6">
        <v>996.6</v>
      </c>
      <c r="L102" s="6">
        <v>15.7</v>
      </c>
      <c r="M102" s="4">
        <v>2.5</v>
      </c>
      <c r="N102" s="8">
        <v>38.114699999999999</v>
      </c>
      <c r="O102" s="8">
        <v>18.8964</v>
      </c>
      <c r="P102" s="8">
        <f t="shared" si="1"/>
        <v>57.011099999999999</v>
      </c>
      <c r="Q102" s="8"/>
      <c r="R102" s="1">
        <v>43.81</v>
      </c>
      <c r="S102" s="1">
        <v>21.72</v>
      </c>
      <c r="T102" s="8">
        <v>65.53</v>
      </c>
      <c r="U102" s="4" t="s">
        <v>218</v>
      </c>
      <c r="V102" s="4" t="s">
        <v>223</v>
      </c>
      <c r="W102" s="4" t="s">
        <v>232</v>
      </c>
      <c r="X102" s="4" t="s">
        <v>232</v>
      </c>
    </row>
    <row r="103" spans="1:24" s="4" customFormat="1" x14ac:dyDescent="0.25">
      <c r="A103" s="4" t="s">
        <v>19</v>
      </c>
      <c r="B103" s="4">
        <v>2019</v>
      </c>
      <c r="C103" s="4" t="s">
        <v>18</v>
      </c>
      <c r="D103" s="4" t="s">
        <v>48</v>
      </c>
      <c r="E103" s="4">
        <v>34</v>
      </c>
      <c r="F103" s="4">
        <v>3</v>
      </c>
      <c r="G103" s="4">
        <v>117</v>
      </c>
      <c r="I103" s="4" t="s">
        <v>232</v>
      </c>
      <c r="J103" s="4" t="s">
        <v>232</v>
      </c>
      <c r="K103" s="6">
        <v>853.7</v>
      </c>
      <c r="L103" s="6">
        <v>15.5</v>
      </c>
      <c r="M103" s="4">
        <v>3.5</v>
      </c>
      <c r="N103" s="8">
        <v>39.002099999999999</v>
      </c>
      <c r="O103" s="8">
        <v>18.200400000000002</v>
      </c>
      <c r="P103" s="8">
        <f t="shared" si="1"/>
        <v>57.202500000000001</v>
      </c>
      <c r="Q103" s="8"/>
      <c r="R103" s="1">
        <v>44.83</v>
      </c>
      <c r="S103" s="1">
        <v>20.92</v>
      </c>
      <c r="T103" s="8">
        <v>65.75</v>
      </c>
      <c r="U103" s="4" t="s">
        <v>218</v>
      </c>
      <c r="V103" s="4" t="s">
        <v>223</v>
      </c>
      <c r="W103" s="4" t="s">
        <v>232</v>
      </c>
      <c r="X103" s="4" t="s">
        <v>230</v>
      </c>
    </row>
    <row r="104" spans="1:24" s="4" customFormat="1" x14ac:dyDescent="0.25">
      <c r="A104" s="5" t="s">
        <v>19</v>
      </c>
      <c r="B104" s="5">
        <v>2019</v>
      </c>
      <c r="C104" s="5" t="s">
        <v>18</v>
      </c>
      <c r="D104" s="5" t="s">
        <v>93</v>
      </c>
      <c r="E104" s="5">
        <v>35</v>
      </c>
      <c r="F104" s="5">
        <v>1</v>
      </c>
      <c r="G104" s="5">
        <v>32</v>
      </c>
      <c r="H104" s="4">
        <v>33</v>
      </c>
      <c r="I104" s="4">
        <v>1.5</v>
      </c>
      <c r="J104" s="4">
        <v>31</v>
      </c>
      <c r="K104" s="6">
        <v>974.2</v>
      </c>
      <c r="L104" s="6">
        <v>15.6</v>
      </c>
      <c r="M104" s="4">
        <v>2.5</v>
      </c>
      <c r="N104" s="8">
        <v>37.279499999999999</v>
      </c>
      <c r="O104" s="8">
        <v>19.653300000000002</v>
      </c>
      <c r="P104" s="8">
        <f t="shared" si="1"/>
        <v>56.9328</v>
      </c>
      <c r="Q104" s="8"/>
      <c r="R104" s="1">
        <v>42.85</v>
      </c>
      <c r="S104" s="1">
        <v>22.59</v>
      </c>
      <c r="T104" s="8">
        <v>65.44</v>
      </c>
      <c r="U104" s="4" t="s">
        <v>218</v>
      </c>
      <c r="V104" s="4" t="s">
        <v>223</v>
      </c>
      <c r="W104" s="4" t="s">
        <v>232</v>
      </c>
      <c r="X104" s="4" t="s">
        <v>232</v>
      </c>
    </row>
    <row r="105" spans="1:24" s="4" customFormat="1" x14ac:dyDescent="0.25">
      <c r="A105" s="5" t="s">
        <v>19</v>
      </c>
      <c r="B105" s="5">
        <v>2019</v>
      </c>
      <c r="C105" s="5" t="s">
        <v>18</v>
      </c>
      <c r="D105" s="5" t="s">
        <v>93</v>
      </c>
      <c r="E105" s="5">
        <v>35</v>
      </c>
      <c r="F105" s="5">
        <v>2</v>
      </c>
      <c r="G105" s="5">
        <v>93</v>
      </c>
      <c r="H105" s="4">
        <v>35</v>
      </c>
      <c r="I105" s="4">
        <v>1.5</v>
      </c>
      <c r="J105" s="4">
        <v>32</v>
      </c>
      <c r="K105" s="6">
        <v>882.7</v>
      </c>
      <c r="L105" s="6">
        <v>14.5</v>
      </c>
      <c r="M105" s="4">
        <v>2</v>
      </c>
      <c r="N105" s="8">
        <v>36.940199999999997</v>
      </c>
      <c r="O105" s="8">
        <v>19.453199999999999</v>
      </c>
      <c r="P105" s="8">
        <f t="shared" si="1"/>
        <v>56.3934</v>
      </c>
      <c r="Q105" s="8"/>
      <c r="R105" s="1">
        <v>42.46</v>
      </c>
      <c r="S105" s="1">
        <v>22.36</v>
      </c>
      <c r="T105" s="8">
        <v>64.819999999999993</v>
      </c>
      <c r="U105" s="4" t="s">
        <v>218</v>
      </c>
      <c r="V105" s="4" t="s">
        <v>223</v>
      </c>
      <c r="W105" s="4" t="s">
        <v>232</v>
      </c>
      <c r="X105" s="4" t="s">
        <v>232</v>
      </c>
    </row>
    <row r="106" spans="1:24" s="4" customFormat="1" x14ac:dyDescent="0.25">
      <c r="A106" s="4" t="s">
        <v>19</v>
      </c>
      <c r="B106" s="4">
        <v>2019</v>
      </c>
      <c r="C106" s="4" t="s">
        <v>18</v>
      </c>
      <c r="D106" s="4" t="s">
        <v>93</v>
      </c>
      <c r="E106" s="4">
        <v>35</v>
      </c>
      <c r="F106" s="4">
        <v>3</v>
      </c>
      <c r="G106" s="4">
        <v>104</v>
      </c>
      <c r="I106" s="4" t="s">
        <v>232</v>
      </c>
      <c r="J106" s="4" t="s">
        <v>232</v>
      </c>
      <c r="K106" s="6">
        <v>952.2</v>
      </c>
      <c r="L106" s="6">
        <v>14.3</v>
      </c>
      <c r="M106" s="4">
        <v>2</v>
      </c>
      <c r="N106" s="8">
        <v>36.731400000000001</v>
      </c>
      <c r="O106" s="8">
        <v>19.392299999999999</v>
      </c>
      <c r="P106" s="8">
        <f t="shared" si="1"/>
        <v>56.123699999999999</v>
      </c>
      <c r="Q106" s="8"/>
      <c r="R106" s="1">
        <v>42.22</v>
      </c>
      <c r="S106" s="1">
        <v>22.29</v>
      </c>
      <c r="T106" s="8">
        <v>64.509999999999991</v>
      </c>
      <c r="U106" s="4" t="s">
        <v>218</v>
      </c>
      <c r="V106" s="4" t="s">
        <v>223</v>
      </c>
      <c r="W106" s="4" t="s">
        <v>232</v>
      </c>
      <c r="X106" s="4" t="s">
        <v>232</v>
      </c>
    </row>
    <row r="107" spans="1:24" s="4" customFormat="1" x14ac:dyDescent="0.25">
      <c r="A107" s="4" t="s">
        <v>19</v>
      </c>
      <c r="B107" s="4">
        <v>2019</v>
      </c>
      <c r="C107" s="4" t="s">
        <v>18</v>
      </c>
      <c r="D107" s="4" t="s">
        <v>163</v>
      </c>
      <c r="E107" s="4">
        <v>36</v>
      </c>
      <c r="F107" s="4">
        <v>1</v>
      </c>
      <c r="G107" s="4">
        <v>34</v>
      </c>
      <c r="H107" s="4">
        <v>30</v>
      </c>
      <c r="I107" s="4">
        <v>1</v>
      </c>
      <c r="J107" s="4">
        <v>21</v>
      </c>
      <c r="K107" s="6">
        <v>1154.2</v>
      </c>
      <c r="L107" s="6">
        <v>15.8</v>
      </c>
      <c r="M107" s="4">
        <v>2</v>
      </c>
      <c r="N107" s="8">
        <v>37.2273</v>
      </c>
      <c r="O107" s="8">
        <v>19.1052</v>
      </c>
      <c r="P107" s="8">
        <f t="shared" si="1"/>
        <v>56.332499999999996</v>
      </c>
      <c r="Q107" s="8"/>
      <c r="R107" s="1">
        <v>42.79</v>
      </c>
      <c r="S107" s="1">
        <v>21.96</v>
      </c>
      <c r="T107" s="8">
        <v>64.75</v>
      </c>
      <c r="U107" s="4" t="s">
        <v>218</v>
      </c>
      <c r="V107" s="4" t="s">
        <v>223</v>
      </c>
      <c r="W107" s="4" t="s">
        <v>232</v>
      </c>
      <c r="X107" s="4" t="s">
        <v>232</v>
      </c>
    </row>
    <row r="108" spans="1:24" s="4" customFormat="1" x14ac:dyDescent="0.25">
      <c r="A108" s="5" t="s">
        <v>19</v>
      </c>
      <c r="B108" s="5">
        <v>2019</v>
      </c>
      <c r="C108" s="5" t="s">
        <v>18</v>
      </c>
      <c r="D108" s="5" t="s">
        <v>163</v>
      </c>
      <c r="E108" s="5">
        <v>36</v>
      </c>
      <c r="F108" s="5">
        <v>2</v>
      </c>
      <c r="G108" s="5">
        <v>87</v>
      </c>
      <c r="H108" s="4">
        <v>30</v>
      </c>
      <c r="I108" s="4">
        <v>1</v>
      </c>
      <c r="J108" s="4">
        <v>22</v>
      </c>
      <c r="K108" s="6">
        <v>1082.9000000000001</v>
      </c>
      <c r="L108" s="6">
        <v>16.3</v>
      </c>
      <c r="M108" s="4">
        <v>2</v>
      </c>
      <c r="N108" s="8">
        <v>36.957599999999999</v>
      </c>
      <c r="O108" s="8">
        <v>18.635400000000001</v>
      </c>
      <c r="P108" s="8">
        <f t="shared" si="1"/>
        <v>55.593000000000004</v>
      </c>
      <c r="Q108" s="8"/>
      <c r="R108" s="1">
        <v>42.48</v>
      </c>
      <c r="S108" s="1">
        <v>21.42</v>
      </c>
      <c r="T108" s="8">
        <v>63.9</v>
      </c>
      <c r="U108" s="4" t="s">
        <v>218</v>
      </c>
      <c r="V108" s="4" t="s">
        <v>223</v>
      </c>
      <c r="W108" s="4" t="s">
        <v>232</v>
      </c>
      <c r="X108" s="4" t="s">
        <v>232</v>
      </c>
    </row>
    <row r="109" spans="1:24" s="4" customFormat="1" x14ac:dyDescent="0.25">
      <c r="A109" s="4" t="s">
        <v>19</v>
      </c>
      <c r="B109" s="4">
        <v>2019</v>
      </c>
      <c r="C109" s="4" t="s">
        <v>18</v>
      </c>
      <c r="D109" s="4" t="s">
        <v>163</v>
      </c>
      <c r="E109" s="4">
        <v>36</v>
      </c>
      <c r="F109" s="4">
        <v>3</v>
      </c>
      <c r="G109" s="4">
        <v>116</v>
      </c>
      <c r="I109" s="4" t="s">
        <v>232</v>
      </c>
      <c r="J109" s="4" t="s">
        <v>232</v>
      </c>
      <c r="K109" s="6">
        <v>933.7</v>
      </c>
      <c r="L109" s="6">
        <v>14.3</v>
      </c>
      <c r="M109" s="4">
        <v>2.5</v>
      </c>
      <c r="N109" s="8">
        <v>37.244700000000002</v>
      </c>
      <c r="O109" s="8">
        <v>18.435300000000002</v>
      </c>
      <c r="P109" s="8">
        <f t="shared" si="1"/>
        <v>55.680000000000007</v>
      </c>
      <c r="Q109" s="8"/>
      <c r="R109" s="1">
        <v>42.81</v>
      </c>
      <c r="S109" s="1">
        <v>21.19</v>
      </c>
      <c r="T109" s="8">
        <v>64</v>
      </c>
      <c r="U109" s="4" t="s">
        <v>218</v>
      </c>
      <c r="V109" s="4" t="s">
        <v>223</v>
      </c>
      <c r="W109" s="4" t="s">
        <v>232</v>
      </c>
      <c r="X109" s="4" t="s">
        <v>232</v>
      </c>
    </row>
    <row r="110" spans="1:24" s="4" customFormat="1" x14ac:dyDescent="0.25">
      <c r="A110" s="5" t="s">
        <v>19</v>
      </c>
      <c r="B110" s="5">
        <v>2019</v>
      </c>
      <c r="C110" s="5" t="s">
        <v>18</v>
      </c>
      <c r="D110" s="5" t="s">
        <v>140</v>
      </c>
      <c r="E110" s="5">
        <v>37</v>
      </c>
      <c r="F110" s="5">
        <v>1</v>
      </c>
      <c r="G110" s="5">
        <v>44</v>
      </c>
      <c r="H110" s="4">
        <v>33</v>
      </c>
      <c r="I110" s="4">
        <v>1.5</v>
      </c>
      <c r="J110" s="4">
        <v>26</v>
      </c>
      <c r="K110" s="6">
        <v>950.8</v>
      </c>
      <c r="L110" s="6">
        <v>13.5</v>
      </c>
      <c r="M110" s="4">
        <v>2.5</v>
      </c>
      <c r="N110" s="8">
        <v>37.566600000000001</v>
      </c>
      <c r="O110" s="8">
        <v>18.966000000000001</v>
      </c>
      <c r="P110" s="8">
        <f t="shared" si="1"/>
        <v>56.532600000000002</v>
      </c>
      <c r="Q110" s="8"/>
      <c r="R110" s="1">
        <v>43.18</v>
      </c>
      <c r="S110" s="1">
        <v>21.8</v>
      </c>
      <c r="T110" s="8">
        <v>64.98</v>
      </c>
      <c r="U110" s="4" t="s">
        <v>218</v>
      </c>
      <c r="V110" s="4" t="s">
        <v>223</v>
      </c>
      <c r="W110" s="4" t="s">
        <v>232</v>
      </c>
      <c r="X110" s="4" t="s">
        <v>232</v>
      </c>
    </row>
    <row r="111" spans="1:24" s="4" customFormat="1" x14ac:dyDescent="0.25">
      <c r="A111" s="5" t="s">
        <v>19</v>
      </c>
      <c r="B111" s="5">
        <v>2019</v>
      </c>
      <c r="C111" s="5" t="s">
        <v>18</v>
      </c>
      <c r="D111" s="5" t="s">
        <v>140</v>
      </c>
      <c r="E111" s="5">
        <v>37</v>
      </c>
      <c r="F111" s="5">
        <v>2</v>
      </c>
      <c r="G111" s="5">
        <v>98</v>
      </c>
      <c r="H111" s="4">
        <v>33</v>
      </c>
      <c r="I111" s="4">
        <v>1.5</v>
      </c>
      <c r="J111" s="4">
        <v>27</v>
      </c>
      <c r="K111" s="6">
        <v>1010.1</v>
      </c>
      <c r="L111" s="6">
        <v>14.8</v>
      </c>
      <c r="M111" s="4">
        <v>2</v>
      </c>
      <c r="N111" s="8">
        <v>37.923300000000005</v>
      </c>
      <c r="O111" s="8">
        <v>18.5136</v>
      </c>
      <c r="P111" s="8">
        <f t="shared" si="1"/>
        <v>56.436900000000009</v>
      </c>
      <c r="Q111" s="8"/>
      <c r="R111" s="1">
        <v>43.59</v>
      </c>
      <c r="S111" s="1">
        <v>21.28</v>
      </c>
      <c r="T111" s="8">
        <v>64.87</v>
      </c>
      <c r="U111" s="4" t="s">
        <v>218</v>
      </c>
      <c r="V111" s="4" t="s">
        <v>223</v>
      </c>
      <c r="W111" s="4" t="s">
        <v>232</v>
      </c>
      <c r="X111" s="4" t="s">
        <v>232</v>
      </c>
    </row>
    <row r="112" spans="1:24" s="4" customFormat="1" x14ac:dyDescent="0.25">
      <c r="A112" s="5" t="s">
        <v>19</v>
      </c>
      <c r="B112" s="5">
        <v>2019</v>
      </c>
      <c r="C112" s="5" t="s">
        <v>18</v>
      </c>
      <c r="D112" s="5" t="s">
        <v>140</v>
      </c>
      <c r="E112" s="5">
        <v>37</v>
      </c>
      <c r="F112" s="5">
        <v>3</v>
      </c>
      <c r="G112" s="5">
        <v>128</v>
      </c>
      <c r="I112" s="4" t="s">
        <v>232</v>
      </c>
      <c r="J112" s="4" t="s">
        <v>232</v>
      </c>
      <c r="K112" s="6">
        <v>1213.3</v>
      </c>
      <c r="L112" s="6">
        <v>14.7</v>
      </c>
      <c r="M112" s="4">
        <v>2.5</v>
      </c>
      <c r="N112" s="8">
        <v>37.6188</v>
      </c>
      <c r="O112" s="8">
        <v>18.443999999999999</v>
      </c>
      <c r="P112" s="8">
        <f t="shared" si="1"/>
        <v>56.062799999999996</v>
      </c>
      <c r="Q112" s="8"/>
      <c r="R112" s="1">
        <v>43.24</v>
      </c>
      <c r="S112" s="1">
        <v>21.2</v>
      </c>
      <c r="T112" s="8">
        <v>64.44</v>
      </c>
      <c r="U112" s="4" t="s">
        <v>218</v>
      </c>
      <c r="V112" s="4" t="s">
        <v>223</v>
      </c>
      <c r="W112" s="4" t="s">
        <v>232</v>
      </c>
      <c r="X112" s="4" t="s">
        <v>232</v>
      </c>
    </row>
    <row r="113" spans="1:24" s="4" customFormat="1" x14ac:dyDescent="0.25">
      <c r="A113" s="5" t="s">
        <v>19</v>
      </c>
      <c r="B113" s="5">
        <v>2019</v>
      </c>
      <c r="C113" s="5" t="s">
        <v>18</v>
      </c>
      <c r="D113" s="5" t="s">
        <v>42</v>
      </c>
      <c r="E113" s="5">
        <v>38</v>
      </c>
      <c r="F113" s="5">
        <v>1</v>
      </c>
      <c r="G113" s="5">
        <v>21</v>
      </c>
      <c r="H113" s="4">
        <v>32</v>
      </c>
      <c r="I113" s="4">
        <v>1.5</v>
      </c>
      <c r="J113" s="4">
        <v>22</v>
      </c>
      <c r="K113" s="6">
        <v>1255.9000000000001</v>
      </c>
      <c r="L113" s="6">
        <v>15</v>
      </c>
      <c r="M113" s="4">
        <v>2</v>
      </c>
      <c r="N113" s="8">
        <v>37.670999999999999</v>
      </c>
      <c r="O113" s="8">
        <v>19.505400000000002</v>
      </c>
      <c r="P113" s="8">
        <f t="shared" si="1"/>
        <v>57.176400000000001</v>
      </c>
      <c r="Q113" s="8"/>
      <c r="R113" s="1">
        <v>43.3</v>
      </c>
      <c r="S113" s="1">
        <v>22.42</v>
      </c>
      <c r="T113" s="8">
        <v>65.72</v>
      </c>
      <c r="U113" s="4" t="s">
        <v>218</v>
      </c>
      <c r="V113" s="4" t="s">
        <v>223</v>
      </c>
      <c r="W113" s="4" t="s">
        <v>232</v>
      </c>
      <c r="X113" s="4" t="s">
        <v>232</v>
      </c>
    </row>
    <row r="114" spans="1:24" s="4" customFormat="1" x14ac:dyDescent="0.25">
      <c r="A114" s="4" t="s">
        <v>19</v>
      </c>
      <c r="B114" s="4">
        <v>2019</v>
      </c>
      <c r="C114" s="4" t="s">
        <v>18</v>
      </c>
      <c r="D114" s="4" t="s">
        <v>42</v>
      </c>
      <c r="E114" s="4">
        <v>38</v>
      </c>
      <c r="F114" s="4">
        <v>2</v>
      </c>
      <c r="G114" s="4">
        <v>84</v>
      </c>
      <c r="H114" s="4">
        <v>33</v>
      </c>
      <c r="I114" s="4">
        <v>1.5</v>
      </c>
      <c r="J114" s="4">
        <v>28</v>
      </c>
      <c r="K114" s="6">
        <v>1103.0999999999999</v>
      </c>
      <c r="L114" s="6">
        <v>14.6</v>
      </c>
      <c r="M114" s="4">
        <v>2.5</v>
      </c>
      <c r="N114" s="8">
        <v>37.818899999999999</v>
      </c>
      <c r="O114" s="8">
        <v>18.6615</v>
      </c>
      <c r="P114" s="8">
        <f t="shared" si="1"/>
        <v>56.480400000000003</v>
      </c>
      <c r="Q114" s="8"/>
      <c r="R114" s="1">
        <v>43.47</v>
      </c>
      <c r="S114" s="1">
        <v>21.45</v>
      </c>
      <c r="T114" s="8">
        <v>64.92</v>
      </c>
      <c r="U114" s="4" t="s">
        <v>218</v>
      </c>
      <c r="V114" s="4" t="s">
        <v>223</v>
      </c>
      <c r="W114" s="4" t="s">
        <v>232</v>
      </c>
      <c r="X114" s="4" t="s">
        <v>232</v>
      </c>
    </row>
    <row r="115" spans="1:24" s="4" customFormat="1" x14ac:dyDescent="0.25">
      <c r="A115" s="5" t="s">
        <v>19</v>
      </c>
      <c r="B115" s="5">
        <v>2019</v>
      </c>
      <c r="C115" s="5" t="s">
        <v>18</v>
      </c>
      <c r="D115" s="5" t="s">
        <v>42</v>
      </c>
      <c r="E115" s="5">
        <v>38</v>
      </c>
      <c r="F115" s="5">
        <v>3</v>
      </c>
      <c r="G115" s="5">
        <v>137</v>
      </c>
      <c r="I115" s="4" t="s">
        <v>232</v>
      </c>
      <c r="J115" s="4" t="s">
        <v>232</v>
      </c>
      <c r="K115" s="6">
        <v>906.2</v>
      </c>
      <c r="L115" s="6">
        <v>14.3</v>
      </c>
      <c r="M115" s="4">
        <v>3</v>
      </c>
      <c r="N115" s="8">
        <v>38.262599999999999</v>
      </c>
      <c r="O115" s="8">
        <v>18.765899999999998</v>
      </c>
      <c r="P115" s="8">
        <f t="shared" si="1"/>
        <v>57.028499999999994</v>
      </c>
      <c r="Q115" s="8"/>
      <c r="R115" s="1">
        <v>43.98</v>
      </c>
      <c r="S115" s="1">
        <v>21.57</v>
      </c>
      <c r="T115" s="8">
        <v>65.55</v>
      </c>
      <c r="U115" s="4" t="s">
        <v>218</v>
      </c>
      <c r="V115" s="4" t="s">
        <v>223</v>
      </c>
      <c r="W115" s="4" t="s">
        <v>232</v>
      </c>
      <c r="X115" s="4" t="s">
        <v>232</v>
      </c>
    </row>
    <row r="116" spans="1:24" s="4" customFormat="1" x14ac:dyDescent="0.25">
      <c r="A116" s="4" t="s">
        <v>19</v>
      </c>
      <c r="B116" s="4">
        <v>2019</v>
      </c>
      <c r="C116" s="4" t="s">
        <v>18</v>
      </c>
      <c r="D116" s="4" t="s">
        <v>105</v>
      </c>
      <c r="E116" s="4">
        <v>39</v>
      </c>
      <c r="F116" s="4">
        <v>1</v>
      </c>
      <c r="G116" s="4">
        <v>26</v>
      </c>
      <c r="H116" s="4">
        <v>33</v>
      </c>
      <c r="I116" s="4">
        <v>2</v>
      </c>
      <c r="J116" s="4">
        <v>24</v>
      </c>
      <c r="K116" s="6">
        <v>1335.6</v>
      </c>
      <c r="L116" s="6">
        <v>17</v>
      </c>
      <c r="M116" s="4">
        <v>2.5</v>
      </c>
      <c r="N116" s="8">
        <v>36.4878</v>
      </c>
      <c r="O116" s="8">
        <v>19.392299999999999</v>
      </c>
      <c r="P116" s="8">
        <f t="shared" si="1"/>
        <v>55.880099999999999</v>
      </c>
      <c r="Q116" s="8"/>
      <c r="R116" s="1">
        <v>41.94</v>
      </c>
      <c r="S116" s="1">
        <v>22.29</v>
      </c>
      <c r="T116" s="8">
        <v>64.22999999999999</v>
      </c>
      <c r="U116" s="4" t="s">
        <v>218</v>
      </c>
      <c r="V116" s="4" t="s">
        <v>223</v>
      </c>
      <c r="W116" s="4" t="s">
        <v>232</v>
      </c>
      <c r="X116" s="4" t="s">
        <v>232</v>
      </c>
    </row>
    <row r="117" spans="1:24" s="4" customFormat="1" x14ac:dyDescent="0.25">
      <c r="A117" s="4" t="s">
        <v>19</v>
      </c>
      <c r="B117" s="4">
        <v>2019</v>
      </c>
      <c r="C117" s="4" t="s">
        <v>18</v>
      </c>
      <c r="D117" s="4" t="s">
        <v>105</v>
      </c>
      <c r="E117" s="4">
        <v>39</v>
      </c>
      <c r="F117" s="4">
        <v>2</v>
      </c>
      <c r="G117" s="4">
        <v>64</v>
      </c>
      <c r="H117" s="4">
        <v>32</v>
      </c>
      <c r="I117" s="4">
        <v>1.5</v>
      </c>
      <c r="J117" s="4">
        <v>21</v>
      </c>
      <c r="K117" s="6">
        <v>1150.8</v>
      </c>
      <c r="L117" s="6">
        <v>18</v>
      </c>
      <c r="M117" s="4">
        <v>2</v>
      </c>
      <c r="N117" s="8">
        <v>36.383400000000002</v>
      </c>
      <c r="O117" s="8">
        <v>19.6968</v>
      </c>
      <c r="P117" s="8">
        <f t="shared" si="1"/>
        <v>56.080200000000005</v>
      </c>
      <c r="Q117" s="8"/>
      <c r="R117" s="1">
        <v>41.82</v>
      </c>
      <c r="S117" s="1">
        <v>22.64</v>
      </c>
      <c r="T117" s="8">
        <v>64.460000000000008</v>
      </c>
      <c r="U117" s="4" t="s">
        <v>218</v>
      </c>
      <c r="V117" s="4" t="s">
        <v>223</v>
      </c>
      <c r="W117" s="4" t="s">
        <v>232</v>
      </c>
      <c r="X117" s="4" t="s">
        <v>232</v>
      </c>
    </row>
    <row r="118" spans="1:24" s="4" customFormat="1" x14ac:dyDescent="0.25">
      <c r="A118" s="5" t="s">
        <v>19</v>
      </c>
      <c r="B118" s="5">
        <v>2019</v>
      </c>
      <c r="C118" s="5" t="s">
        <v>18</v>
      </c>
      <c r="D118" s="5" t="s">
        <v>105</v>
      </c>
      <c r="E118" s="5">
        <v>39</v>
      </c>
      <c r="F118" s="5">
        <v>3</v>
      </c>
      <c r="G118" s="5">
        <v>112</v>
      </c>
      <c r="I118" s="4" t="s">
        <v>232</v>
      </c>
      <c r="J118" s="4" t="s">
        <v>232</v>
      </c>
      <c r="K118" s="6">
        <v>867.7</v>
      </c>
      <c r="L118" s="6">
        <v>16</v>
      </c>
      <c r="M118" s="4">
        <v>3</v>
      </c>
      <c r="N118" s="8">
        <v>38.219099999999997</v>
      </c>
      <c r="O118" s="8">
        <v>18.557099999999998</v>
      </c>
      <c r="P118" s="8">
        <f t="shared" si="1"/>
        <v>56.776199999999996</v>
      </c>
      <c r="Q118" s="8"/>
      <c r="R118" s="1">
        <v>43.93</v>
      </c>
      <c r="S118" s="1">
        <v>21.33</v>
      </c>
      <c r="T118" s="8">
        <v>65.259999999999991</v>
      </c>
      <c r="U118" s="4" t="s">
        <v>218</v>
      </c>
      <c r="V118" s="4" t="s">
        <v>223</v>
      </c>
      <c r="W118" s="4" t="s">
        <v>232</v>
      </c>
      <c r="X118" s="4" t="s">
        <v>232</v>
      </c>
    </row>
    <row r="119" spans="1:24" s="4" customFormat="1" x14ac:dyDescent="0.25">
      <c r="A119" s="5" t="s">
        <v>19</v>
      </c>
      <c r="B119" s="5">
        <v>2019</v>
      </c>
      <c r="C119" s="5" t="s">
        <v>18</v>
      </c>
      <c r="D119" s="5" t="s">
        <v>33</v>
      </c>
      <c r="E119" s="5">
        <v>40</v>
      </c>
      <c r="F119" s="5">
        <v>1</v>
      </c>
      <c r="G119" s="5">
        <v>23</v>
      </c>
      <c r="H119" s="4">
        <v>33</v>
      </c>
      <c r="I119" s="4">
        <v>1.5</v>
      </c>
      <c r="J119" s="4">
        <v>35</v>
      </c>
      <c r="K119" s="6">
        <v>1029.4000000000001</v>
      </c>
      <c r="L119" s="6">
        <v>17.5</v>
      </c>
      <c r="M119" s="4">
        <v>1.5</v>
      </c>
      <c r="N119" s="8">
        <v>37.523099999999999</v>
      </c>
      <c r="O119" s="8">
        <v>20.4102</v>
      </c>
      <c r="P119" s="8">
        <f t="shared" si="1"/>
        <v>57.933300000000003</v>
      </c>
      <c r="Q119" s="8"/>
      <c r="R119" s="1">
        <v>43.13</v>
      </c>
      <c r="S119" s="1">
        <v>23.46</v>
      </c>
      <c r="T119" s="8">
        <v>66.59</v>
      </c>
      <c r="U119" s="4" t="s">
        <v>218</v>
      </c>
      <c r="V119" s="4" t="s">
        <v>223</v>
      </c>
      <c r="W119" s="4" t="s">
        <v>232</v>
      </c>
      <c r="X119" s="4" t="s">
        <v>232</v>
      </c>
    </row>
    <row r="120" spans="1:24" s="4" customFormat="1" x14ac:dyDescent="0.25">
      <c r="A120" s="5" t="s">
        <v>19</v>
      </c>
      <c r="B120" s="5">
        <v>2019</v>
      </c>
      <c r="C120" s="5" t="s">
        <v>18</v>
      </c>
      <c r="D120" s="5" t="s">
        <v>33</v>
      </c>
      <c r="E120" s="5">
        <v>40</v>
      </c>
      <c r="F120" s="5">
        <v>2</v>
      </c>
      <c r="G120" s="5">
        <v>61</v>
      </c>
      <c r="H120" s="4">
        <v>34</v>
      </c>
      <c r="I120" s="4">
        <v>1.5</v>
      </c>
      <c r="J120" s="4">
        <v>34</v>
      </c>
      <c r="K120" s="6">
        <v>1090.2</v>
      </c>
      <c r="L120" s="6">
        <v>18.100000000000001</v>
      </c>
      <c r="M120" s="4">
        <v>2</v>
      </c>
      <c r="N120" s="8">
        <v>36.722700000000003</v>
      </c>
      <c r="O120" s="8">
        <v>20.1492</v>
      </c>
      <c r="P120" s="8">
        <f t="shared" si="1"/>
        <v>56.871900000000004</v>
      </c>
      <c r="Q120" s="8"/>
      <c r="R120" s="1">
        <v>42.21</v>
      </c>
      <c r="S120" s="1">
        <v>23.16</v>
      </c>
      <c r="T120" s="8">
        <v>65.37</v>
      </c>
      <c r="U120" s="4" t="s">
        <v>218</v>
      </c>
      <c r="V120" s="4" t="s">
        <v>223</v>
      </c>
      <c r="W120" s="4" t="s">
        <v>232</v>
      </c>
      <c r="X120" s="4" t="s">
        <v>232</v>
      </c>
    </row>
    <row r="121" spans="1:24" s="4" customFormat="1" x14ac:dyDescent="0.25">
      <c r="A121" s="5" t="s">
        <v>19</v>
      </c>
      <c r="B121" s="5">
        <v>2019</v>
      </c>
      <c r="C121" s="5" t="s">
        <v>18</v>
      </c>
      <c r="D121" s="5" t="s">
        <v>33</v>
      </c>
      <c r="E121" s="5">
        <v>40</v>
      </c>
      <c r="F121" s="5">
        <v>3</v>
      </c>
      <c r="G121" s="5">
        <v>113</v>
      </c>
      <c r="I121" s="4" t="s">
        <v>232</v>
      </c>
      <c r="J121" s="4" t="s">
        <v>232</v>
      </c>
      <c r="K121" s="6">
        <v>1277.7</v>
      </c>
      <c r="L121" s="6">
        <v>17</v>
      </c>
      <c r="M121" s="4">
        <v>2</v>
      </c>
      <c r="N121" s="8">
        <v>37.566600000000001</v>
      </c>
      <c r="O121" s="8">
        <v>20.0535</v>
      </c>
      <c r="P121" s="8">
        <f t="shared" si="1"/>
        <v>57.620100000000001</v>
      </c>
      <c r="Q121" s="8"/>
      <c r="R121" s="1">
        <v>43.18</v>
      </c>
      <c r="S121" s="1">
        <v>23.05</v>
      </c>
      <c r="T121" s="8">
        <v>66.23</v>
      </c>
      <c r="U121" s="4" t="s">
        <v>218</v>
      </c>
      <c r="V121" s="4" t="s">
        <v>223</v>
      </c>
      <c r="W121" s="4" t="s">
        <v>232</v>
      </c>
      <c r="X121" s="4" t="s">
        <v>232</v>
      </c>
    </row>
    <row r="122" spans="1:24" s="4" customFormat="1" x14ac:dyDescent="0.25">
      <c r="A122" s="5" t="s">
        <v>19</v>
      </c>
      <c r="B122" s="5">
        <v>2019</v>
      </c>
      <c r="C122" s="5" t="s">
        <v>18</v>
      </c>
      <c r="D122" s="5" t="s">
        <v>84</v>
      </c>
      <c r="E122" s="5">
        <v>41</v>
      </c>
      <c r="F122" s="5">
        <v>1</v>
      </c>
      <c r="G122" s="5">
        <v>42</v>
      </c>
      <c r="H122" s="4">
        <v>31</v>
      </c>
      <c r="I122" s="4">
        <v>1.5</v>
      </c>
      <c r="J122" s="4">
        <v>26</v>
      </c>
      <c r="K122" s="6">
        <v>1320.4</v>
      </c>
      <c r="L122" s="6">
        <v>16.399999999999999</v>
      </c>
      <c r="M122" s="4">
        <v>2</v>
      </c>
      <c r="N122" s="8">
        <v>38.149500000000003</v>
      </c>
      <c r="O122" s="8">
        <v>19.505400000000002</v>
      </c>
      <c r="P122" s="8">
        <f t="shared" si="1"/>
        <v>57.654900000000005</v>
      </c>
      <c r="Q122" s="8"/>
      <c r="R122" s="1">
        <v>43.85</v>
      </c>
      <c r="S122" s="1">
        <v>22.42</v>
      </c>
      <c r="T122" s="8">
        <v>66.27000000000001</v>
      </c>
      <c r="U122" s="4" t="s">
        <v>218</v>
      </c>
      <c r="V122" s="4" t="s">
        <v>223</v>
      </c>
      <c r="W122" s="4" t="s">
        <v>232</v>
      </c>
      <c r="X122" s="4" t="s">
        <v>232</v>
      </c>
    </row>
    <row r="123" spans="1:24" s="4" customFormat="1" x14ac:dyDescent="0.25">
      <c r="A123" s="4" t="s">
        <v>19</v>
      </c>
      <c r="B123" s="4">
        <v>2019</v>
      </c>
      <c r="C123" s="4" t="s">
        <v>18</v>
      </c>
      <c r="D123" s="4" t="s">
        <v>84</v>
      </c>
      <c r="E123" s="4">
        <v>41</v>
      </c>
      <c r="F123" s="4">
        <v>2</v>
      </c>
      <c r="G123" s="4">
        <v>77</v>
      </c>
      <c r="H123" s="4">
        <v>32</v>
      </c>
      <c r="I123" s="4">
        <v>1.5</v>
      </c>
      <c r="J123" s="4">
        <v>27</v>
      </c>
      <c r="K123" s="6">
        <v>1389.1</v>
      </c>
      <c r="L123" s="6">
        <v>16</v>
      </c>
      <c r="M123" s="4">
        <v>1.5</v>
      </c>
      <c r="N123" s="8">
        <v>37.697099999999999</v>
      </c>
      <c r="O123" s="8">
        <v>18.9573</v>
      </c>
      <c r="P123" s="8">
        <f t="shared" si="1"/>
        <v>56.654399999999995</v>
      </c>
      <c r="Q123" s="8"/>
      <c r="R123" s="1">
        <v>43.33</v>
      </c>
      <c r="S123" s="1">
        <v>21.79</v>
      </c>
      <c r="T123" s="8">
        <v>65.12</v>
      </c>
      <c r="U123" s="4" t="s">
        <v>218</v>
      </c>
      <c r="V123" s="4" t="s">
        <v>223</v>
      </c>
      <c r="W123" s="4" t="s">
        <v>232</v>
      </c>
      <c r="X123" s="4" t="s">
        <v>232</v>
      </c>
    </row>
    <row r="124" spans="1:24" s="4" customFormat="1" x14ac:dyDescent="0.25">
      <c r="A124" s="5" t="s">
        <v>19</v>
      </c>
      <c r="B124" s="5">
        <v>2019</v>
      </c>
      <c r="C124" s="5" t="s">
        <v>18</v>
      </c>
      <c r="D124" s="5" t="s">
        <v>84</v>
      </c>
      <c r="E124" s="5">
        <v>41</v>
      </c>
      <c r="F124" s="5">
        <v>3</v>
      </c>
      <c r="G124" s="5">
        <v>102</v>
      </c>
      <c r="I124" s="4" t="s">
        <v>232</v>
      </c>
      <c r="J124" s="4" t="s">
        <v>232</v>
      </c>
      <c r="K124" s="6">
        <v>1395.7</v>
      </c>
      <c r="L124" s="6">
        <v>16.399999999999999</v>
      </c>
      <c r="M124" s="4">
        <v>1.5</v>
      </c>
      <c r="N124" s="8">
        <v>36.835800000000006</v>
      </c>
      <c r="O124" s="8">
        <v>19.087800000000001</v>
      </c>
      <c r="P124" s="8">
        <f t="shared" si="1"/>
        <v>55.923600000000008</v>
      </c>
      <c r="Q124" s="8"/>
      <c r="R124" s="1">
        <v>42.34</v>
      </c>
      <c r="S124" s="1">
        <v>21.94</v>
      </c>
      <c r="T124" s="8">
        <v>64.28</v>
      </c>
      <c r="U124" s="4" t="s">
        <v>218</v>
      </c>
      <c r="V124" s="4" t="s">
        <v>223</v>
      </c>
      <c r="W124" s="4" t="s">
        <v>232</v>
      </c>
      <c r="X124" s="4" t="s">
        <v>232</v>
      </c>
    </row>
    <row r="125" spans="1:24" s="4" customFormat="1" x14ac:dyDescent="0.25">
      <c r="A125" s="4" t="s">
        <v>19</v>
      </c>
      <c r="B125" s="4">
        <v>2019</v>
      </c>
      <c r="C125" s="4" t="s">
        <v>18</v>
      </c>
      <c r="D125" s="4" t="s">
        <v>50</v>
      </c>
      <c r="E125" s="4">
        <v>42</v>
      </c>
      <c r="F125" s="4">
        <v>1</v>
      </c>
      <c r="G125" s="4">
        <v>7</v>
      </c>
      <c r="H125" s="4">
        <v>30</v>
      </c>
      <c r="I125" s="4">
        <v>1</v>
      </c>
      <c r="J125" s="4">
        <v>20</v>
      </c>
      <c r="K125" s="6">
        <v>1213.2</v>
      </c>
      <c r="L125" s="6">
        <v>15.1</v>
      </c>
      <c r="M125" s="4">
        <v>2</v>
      </c>
      <c r="N125" s="8">
        <v>36.279000000000003</v>
      </c>
      <c r="O125" s="8">
        <v>19.9056</v>
      </c>
      <c r="P125" s="8">
        <f t="shared" si="1"/>
        <v>56.184600000000003</v>
      </c>
      <c r="Q125" s="8"/>
      <c r="R125" s="1">
        <v>41.7</v>
      </c>
      <c r="S125" s="1">
        <v>22.88</v>
      </c>
      <c r="T125" s="8">
        <v>64.58</v>
      </c>
      <c r="U125" s="4" t="s">
        <v>219</v>
      </c>
      <c r="V125" s="4" t="s">
        <v>223</v>
      </c>
      <c r="W125" s="4" t="s">
        <v>232</v>
      </c>
      <c r="X125" s="4" t="s">
        <v>232</v>
      </c>
    </row>
    <row r="126" spans="1:24" s="4" customFormat="1" x14ac:dyDescent="0.25">
      <c r="A126" s="5" t="s">
        <v>19</v>
      </c>
      <c r="B126" s="5">
        <v>2019</v>
      </c>
      <c r="C126" s="5" t="s">
        <v>18</v>
      </c>
      <c r="D126" s="5" t="s">
        <v>50</v>
      </c>
      <c r="E126" s="5">
        <v>42</v>
      </c>
      <c r="F126" s="5">
        <v>2</v>
      </c>
      <c r="G126" s="5">
        <v>80</v>
      </c>
      <c r="H126" s="4">
        <v>30</v>
      </c>
      <c r="I126" s="4">
        <v>1</v>
      </c>
      <c r="J126" s="4">
        <v>25</v>
      </c>
      <c r="K126" s="6">
        <v>999.1</v>
      </c>
      <c r="L126" s="6">
        <v>14.8</v>
      </c>
      <c r="M126" s="4">
        <v>1.5</v>
      </c>
      <c r="N126" s="8">
        <v>36.914099999999998</v>
      </c>
      <c r="O126" s="8">
        <v>19.740300000000001</v>
      </c>
      <c r="P126" s="8">
        <f t="shared" si="1"/>
        <v>56.654399999999995</v>
      </c>
      <c r="Q126" s="8"/>
      <c r="R126" s="1">
        <v>42.43</v>
      </c>
      <c r="S126" s="1">
        <v>22.69</v>
      </c>
      <c r="T126" s="8">
        <v>65.12</v>
      </c>
      <c r="U126" s="4" t="s">
        <v>219</v>
      </c>
      <c r="V126" s="4" t="s">
        <v>223</v>
      </c>
      <c r="W126" s="4" t="s">
        <v>232</v>
      </c>
      <c r="X126" s="4" t="s">
        <v>232</v>
      </c>
    </row>
    <row r="127" spans="1:24" s="4" customFormat="1" x14ac:dyDescent="0.25">
      <c r="A127" s="4" t="s">
        <v>19</v>
      </c>
      <c r="B127" s="4">
        <v>2019</v>
      </c>
      <c r="C127" s="4" t="s">
        <v>18</v>
      </c>
      <c r="D127" s="4" t="s">
        <v>50</v>
      </c>
      <c r="E127" s="4">
        <v>42</v>
      </c>
      <c r="F127" s="4">
        <v>3</v>
      </c>
      <c r="G127" s="4">
        <v>124</v>
      </c>
      <c r="I127" s="4" t="s">
        <v>232</v>
      </c>
      <c r="J127" s="4" t="s">
        <v>232</v>
      </c>
      <c r="K127" s="6">
        <v>1069.7</v>
      </c>
      <c r="L127" s="6">
        <v>15.2</v>
      </c>
      <c r="M127" s="4">
        <v>2</v>
      </c>
      <c r="N127" s="8">
        <v>37.357799999999997</v>
      </c>
      <c r="O127" s="8">
        <v>19.279199999999999</v>
      </c>
      <c r="P127" s="8">
        <f t="shared" si="1"/>
        <v>56.637</v>
      </c>
      <c r="Q127" s="8"/>
      <c r="R127" s="1">
        <v>42.94</v>
      </c>
      <c r="S127" s="1">
        <v>22.16</v>
      </c>
      <c r="T127" s="8">
        <v>65.099999999999994</v>
      </c>
      <c r="U127" s="4" t="s">
        <v>219</v>
      </c>
      <c r="V127" s="4" t="s">
        <v>223</v>
      </c>
      <c r="W127" s="4" t="s">
        <v>232</v>
      </c>
      <c r="X127" s="4" t="s">
        <v>232</v>
      </c>
    </row>
    <row r="128" spans="1:24" s="4" customFormat="1" x14ac:dyDescent="0.25">
      <c r="A128" s="4" t="s">
        <v>19</v>
      </c>
      <c r="B128" s="4">
        <v>2019</v>
      </c>
      <c r="C128" s="4" t="s">
        <v>18</v>
      </c>
      <c r="D128" s="4" t="s">
        <v>55</v>
      </c>
      <c r="E128" s="4">
        <v>43</v>
      </c>
      <c r="F128" s="4">
        <v>1</v>
      </c>
      <c r="G128" s="4">
        <v>17</v>
      </c>
      <c r="H128" s="4">
        <v>29</v>
      </c>
      <c r="I128" s="4">
        <v>1.5</v>
      </c>
      <c r="J128" s="4">
        <v>24</v>
      </c>
      <c r="K128" s="6">
        <v>1202.7</v>
      </c>
      <c r="L128" s="6">
        <v>15</v>
      </c>
      <c r="M128" s="4">
        <v>2.5</v>
      </c>
      <c r="N128" s="8">
        <v>39.062999999999995</v>
      </c>
      <c r="O128" s="8">
        <v>19.775100000000002</v>
      </c>
      <c r="P128" s="8">
        <f t="shared" si="1"/>
        <v>58.838099999999997</v>
      </c>
      <c r="Q128" s="8"/>
      <c r="R128" s="1">
        <v>44.9</v>
      </c>
      <c r="S128" s="1">
        <v>22.73</v>
      </c>
      <c r="T128" s="8">
        <v>67.63</v>
      </c>
      <c r="U128" s="4" t="s">
        <v>220</v>
      </c>
      <c r="V128" s="4" t="s">
        <v>223</v>
      </c>
      <c r="W128" s="4" t="s">
        <v>232</v>
      </c>
      <c r="X128" s="4" t="s">
        <v>232</v>
      </c>
    </row>
    <row r="129" spans="1:24" s="4" customFormat="1" x14ac:dyDescent="0.25">
      <c r="A129" s="5" t="s">
        <v>19</v>
      </c>
      <c r="B129" s="5">
        <v>2019</v>
      </c>
      <c r="C129" s="5" t="s">
        <v>18</v>
      </c>
      <c r="D129" s="5" t="s">
        <v>55</v>
      </c>
      <c r="E129" s="5">
        <v>43</v>
      </c>
      <c r="F129" s="5">
        <v>2</v>
      </c>
      <c r="G129" s="5">
        <v>81</v>
      </c>
      <c r="H129" s="4">
        <v>29</v>
      </c>
      <c r="I129" s="4">
        <v>1</v>
      </c>
      <c r="J129" s="4">
        <v>26</v>
      </c>
      <c r="K129" s="6">
        <v>1118.9000000000001</v>
      </c>
      <c r="L129" s="6">
        <v>15.4</v>
      </c>
      <c r="M129" s="4">
        <v>1.5</v>
      </c>
      <c r="N129" s="8">
        <v>38.027700000000003</v>
      </c>
      <c r="O129" s="8">
        <v>20.210100000000001</v>
      </c>
      <c r="P129" s="8">
        <f t="shared" si="1"/>
        <v>58.237800000000007</v>
      </c>
      <c r="Q129" s="8"/>
      <c r="R129" s="1">
        <v>43.71</v>
      </c>
      <c r="S129" s="1">
        <v>23.23</v>
      </c>
      <c r="T129" s="8">
        <v>66.94</v>
      </c>
      <c r="U129" s="4" t="s">
        <v>220</v>
      </c>
      <c r="V129" s="4" t="s">
        <v>223</v>
      </c>
      <c r="W129" s="4" t="s">
        <v>232</v>
      </c>
      <c r="X129" s="4" t="s">
        <v>232</v>
      </c>
    </row>
    <row r="130" spans="1:24" s="4" customFormat="1" x14ac:dyDescent="0.25">
      <c r="A130" s="5" t="s">
        <v>19</v>
      </c>
      <c r="B130" s="5">
        <v>2019</v>
      </c>
      <c r="C130" s="5" t="s">
        <v>18</v>
      </c>
      <c r="D130" s="5" t="s">
        <v>55</v>
      </c>
      <c r="E130" s="5">
        <v>43</v>
      </c>
      <c r="F130" s="5">
        <v>3</v>
      </c>
      <c r="G130" s="5">
        <v>144</v>
      </c>
      <c r="I130" s="4" t="s">
        <v>232</v>
      </c>
      <c r="J130" s="4" t="s">
        <v>232</v>
      </c>
      <c r="K130" s="6">
        <v>637.70000000000005</v>
      </c>
      <c r="L130" s="6">
        <v>13.6</v>
      </c>
      <c r="M130" s="4">
        <v>2.5</v>
      </c>
      <c r="N130" s="8">
        <v>38.123399999999997</v>
      </c>
      <c r="O130" s="8">
        <v>19.662000000000003</v>
      </c>
      <c r="P130" s="8">
        <f t="shared" si="1"/>
        <v>57.785399999999996</v>
      </c>
      <c r="Q130" s="8"/>
      <c r="R130" s="1">
        <v>43.82</v>
      </c>
      <c r="S130" s="1">
        <v>22.6</v>
      </c>
      <c r="T130" s="8">
        <v>66.42</v>
      </c>
      <c r="U130" s="4" t="s">
        <v>220</v>
      </c>
      <c r="V130" s="4" t="s">
        <v>223</v>
      </c>
      <c r="W130" s="4" t="s">
        <v>232</v>
      </c>
      <c r="X130" s="4" t="s">
        <v>232</v>
      </c>
    </row>
    <row r="131" spans="1:24" s="4" customFormat="1" x14ac:dyDescent="0.25">
      <c r="A131" s="5" t="s">
        <v>19</v>
      </c>
      <c r="B131" s="5">
        <v>2019</v>
      </c>
      <c r="C131" s="5" t="s">
        <v>18</v>
      </c>
      <c r="D131" s="5" t="s">
        <v>110</v>
      </c>
      <c r="E131" s="5">
        <v>44</v>
      </c>
      <c r="F131" s="5">
        <v>1</v>
      </c>
      <c r="G131" s="5">
        <v>8</v>
      </c>
      <c r="H131" s="4">
        <v>31</v>
      </c>
      <c r="I131" s="4">
        <v>2</v>
      </c>
      <c r="J131" s="4">
        <v>50</v>
      </c>
      <c r="K131" s="6">
        <v>901.3</v>
      </c>
      <c r="L131" s="6">
        <v>17</v>
      </c>
      <c r="M131" s="4">
        <v>1.5</v>
      </c>
      <c r="N131" s="8">
        <v>38.984700000000004</v>
      </c>
      <c r="O131" s="8">
        <v>19.200900000000001</v>
      </c>
      <c r="P131" s="8">
        <f t="shared" ref="P131:P151" si="2">N131+O131</f>
        <v>58.185600000000008</v>
      </c>
      <c r="Q131" s="8"/>
      <c r="R131" s="1">
        <v>44.81</v>
      </c>
      <c r="S131" s="1">
        <v>22.07</v>
      </c>
      <c r="T131" s="8">
        <v>66.88</v>
      </c>
      <c r="U131" s="4" t="s">
        <v>219</v>
      </c>
      <c r="V131" s="4" t="s">
        <v>224</v>
      </c>
      <c r="W131" s="4" t="s">
        <v>232</v>
      </c>
      <c r="X131" s="4" t="s">
        <v>232</v>
      </c>
    </row>
    <row r="132" spans="1:24" s="4" customFormat="1" x14ac:dyDescent="0.25">
      <c r="A132" s="4" t="s">
        <v>19</v>
      </c>
      <c r="B132" s="4">
        <v>2019</v>
      </c>
      <c r="C132" s="4" t="s">
        <v>18</v>
      </c>
      <c r="D132" s="4" t="s">
        <v>110</v>
      </c>
      <c r="E132" s="4">
        <v>44</v>
      </c>
      <c r="F132" s="4">
        <v>2</v>
      </c>
      <c r="G132" s="4">
        <v>66</v>
      </c>
      <c r="H132" s="4">
        <v>30</v>
      </c>
      <c r="I132" s="4">
        <v>2.5</v>
      </c>
      <c r="J132" s="4">
        <v>50</v>
      </c>
      <c r="K132" s="6">
        <v>1111</v>
      </c>
      <c r="L132" s="6">
        <v>17.3</v>
      </c>
      <c r="M132" s="4">
        <v>1.5</v>
      </c>
      <c r="N132" s="8">
        <v>37.540500000000002</v>
      </c>
      <c r="O132" s="8">
        <v>19.157399999999999</v>
      </c>
      <c r="P132" s="8">
        <f t="shared" si="2"/>
        <v>56.697900000000004</v>
      </c>
      <c r="Q132" s="8"/>
      <c r="R132" s="1">
        <v>43.15</v>
      </c>
      <c r="S132" s="1">
        <v>22.02</v>
      </c>
      <c r="T132" s="8">
        <v>65.17</v>
      </c>
      <c r="U132" s="4" t="s">
        <v>219</v>
      </c>
      <c r="V132" s="4" t="s">
        <v>224</v>
      </c>
      <c r="W132" s="4" t="s">
        <v>232</v>
      </c>
      <c r="X132" s="4" t="s">
        <v>232</v>
      </c>
    </row>
    <row r="133" spans="1:24" s="4" customFormat="1" x14ac:dyDescent="0.25">
      <c r="A133" s="5" t="s">
        <v>19</v>
      </c>
      <c r="B133" s="5">
        <v>2019</v>
      </c>
      <c r="C133" s="5" t="s">
        <v>18</v>
      </c>
      <c r="D133" s="5" t="s">
        <v>110</v>
      </c>
      <c r="E133" s="5">
        <v>44</v>
      </c>
      <c r="F133" s="5">
        <v>3</v>
      </c>
      <c r="G133" s="5">
        <v>109</v>
      </c>
      <c r="I133" s="4" t="s">
        <v>232</v>
      </c>
      <c r="J133" s="4" t="s">
        <v>232</v>
      </c>
      <c r="K133" s="6">
        <v>780.8</v>
      </c>
      <c r="L133" s="6">
        <v>15.9</v>
      </c>
      <c r="M133" s="4">
        <v>2</v>
      </c>
      <c r="N133" s="8">
        <v>37.958100000000002</v>
      </c>
      <c r="O133" s="8">
        <v>19.035599999999999</v>
      </c>
      <c r="P133" s="8">
        <f t="shared" si="2"/>
        <v>56.993700000000004</v>
      </c>
      <c r="Q133" s="8"/>
      <c r="R133" s="1">
        <v>43.63</v>
      </c>
      <c r="S133" s="1">
        <v>21.88</v>
      </c>
      <c r="T133" s="8">
        <v>65.510000000000005</v>
      </c>
      <c r="U133" s="4" t="s">
        <v>219</v>
      </c>
      <c r="V133" s="4" t="s">
        <v>224</v>
      </c>
      <c r="W133" s="4" t="s">
        <v>232</v>
      </c>
      <c r="X133" s="4" t="s">
        <v>232</v>
      </c>
    </row>
    <row r="134" spans="1:24" s="4" customFormat="1" x14ac:dyDescent="0.25">
      <c r="A134" s="5" t="s">
        <v>19</v>
      </c>
      <c r="B134" s="5">
        <v>2019</v>
      </c>
      <c r="C134" s="5" t="s">
        <v>18</v>
      </c>
      <c r="D134" s="5" t="s">
        <v>62</v>
      </c>
      <c r="E134" s="5">
        <v>45</v>
      </c>
      <c r="F134" s="5">
        <v>1</v>
      </c>
      <c r="G134" s="5">
        <v>43</v>
      </c>
      <c r="H134" s="4">
        <v>34</v>
      </c>
      <c r="I134" s="4">
        <v>1.5</v>
      </c>
      <c r="J134" s="4">
        <v>25</v>
      </c>
      <c r="K134" s="6">
        <v>1085.4000000000001</v>
      </c>
      <c r="L134" s="6">
        <v>15.4</v>
      </c>
      <c r="M134" s="4">
        <v>2</v>
      </c>
      <c r="N134" s="8">
        <v>38.628</v>
      </c>
      <c r="O134" s="8">
        <v>19.635899999999999</v>
      </c>
      <c r="P134" s="8">
        <f t="shared" si="2"/>
        <v>58.2639</v>
      </c>
      <c r="Q134" s="8"/>
      <c r="R134" s="1">
        <v>44.4</v>
      </c>
      <c r="S134" s="1">
        <v>22.57</v>
      </c>
      <c r="T134" s="8">
        <v>66.97</v>
      </c>
      <c r="U134" s="4" t="s">
        <v>219</v>
      </c>
      <c r="V134" s="4" t="s">
        <v>223</v>
      </c>
      <c r="W134" s="4" t="s">
        <v>221</v>
      </c>
      <c r="X134" s="4" t="s">
        <v>232</v>
      </c>
    </row>
    <row r="135" spans="1:24" s="4" customFormat="1" x14ac:dyDescent="0.25">
      <c r="A135" s="5" t="s">
        <v>19</v>
      </c>
      <c r="B135" s="5">
        <v>2019</v>
      </c>
      <c r="C135" s="5" t="s">
        <v>18</v>
      </c>
      <c r="D135" s="5" t="s">
        <v>62</v>
      </c>
      <c r="E135" s="5">
        <v>45</v>
      </c>
      <c r="F135" s="5">
        <v>2</v>
      </c>
      <c r="G135" s="5">
        <v>62</v>
      </c>
      <c r="H135" s="4">
        <v>34</v>
      </c>
      <c r="I135" s="4">
        <v>1.5</v>
      </c>
      <c r="J135" s="4">
        <v>31</v>
      </c>
      <c r="K135" s="6">
        <v>1037.9000000000001</v>
      </c>
      <c r="L135" s="6">
        <v>14.6</v>
      </c>
      <c r="M135" s="4">
        <v>2</v>
      </c>
      <c r="N135" s="8">
        <v>37.453499999999998</v>
      </c>
      <c r="O135" s="8">
        <v>19.931699999999999</v>
      </c>
      <c r="P135" s="8">
        <f t="shared" si="2"/>
        <v>57.385199999999998</v>
      </c>
      <c r="Q135" s="8"/>
      <c r="R135" s="1">
        <v>43.05</v>
      </c>
      <c r="S135" s="1">
        <v>22.91</v>
      </c>
      <c r="T135" s="8">
        <v>65.959999999999994</v>
      </c>
      <c r="U135" s="4" t="s">
        <v>219</v>
      </c>
      <c r="V135" s="4" t="s">
        <v>223</v>
      </c>
      <c r="W135" s="4" t="s">
        <v>221</v>
      </c>
      <c r="X135" s="4" t="s">
        <v>232</v>
      </c>
    </row>
    <row r="136" spans="1:24" s="4" customFormat="1" x14ac:dyDescent="0.25">
      <c r="A136" s="5" t="s">
        <v>19</v>
      </c>
      <c r="B136" s="5">
        <v>2019</v>
      </c>
      <c r="C136" s="5" t="s">
        <v>18</v>
      </c>
      <c r="D136" s="5" t="s">
        <v>62</v>
      </c>
      <c r="E136" s="5">
        <v>45</v>
      </c>
      <c r="F136" s="5">
        <v>3</v>
      </c>
      <c r="G136" s="5">
        <v>140</v>
      </c>
      <c r="I136" s="4" t="s">
        <v>232</v>
      </c>
      <c r="J136" s="4" t="s">
        <v>232</v>
      </c>
      <c r="K136" s="6">
        <v>779.8</v>
      </c>
      <c r="L136" s="6">
        <v>14.1</v>
      </c>
      <c r="M136" s="4">
        <v>2.5</v>
      </c>
      <c r="N136" s="8">
        <v>37.531799999999997</v>
      </c>
      <c r="O136" s="8">
        <v>20.157900000000001</v>
      </c>
      <c r="P136" s="8">
        <f t="shared" si="2"/>
        <v>57.689700000000002</v>
      </c>
      <c r="Q136" s="8"/>
      <c r="R136" s="1">
        <v>43.14</v>
      </c>
      <c r="S136" s="1">
        <v>23.17</v>
      </c>
      <c r="T136" s="8">
        <v>66.31</v>
      </c>
      <c r="U136" s="4" t="s">
        <v>219</v>
      </c>
      <c r="V136" s="4" t="s">
        <v>223</v>
      </c>
      <c r="W136" s="4" t="s">
        <v>232</v>
      </c>
      <c r="X136" s="4" t="s">
        <v>232</v>
      </c>
    </row>
    <row r="137" spans="1:24" s="4" customFormat="1" x14ac:dyDescent="0.25">
      <c r="A137" s="4" t="s">
        <v>19</v>
      </c>
      <c r="B137" s="4">
        <v>2019</v>
      </c>
      <c r="C137" s="4" t="s">
        <v>18</v>
      </c>
      <c r="D137" s="4" t="s">
        <v>76</v>
      </c>
      <c r="E137" s="4">
        <v>46</v>
      </c>
      <c r="F137" s="4">
        <v>1</v>
      </c>
      <c r="G137" s="4">
        <v>4</v>
      </c>
      <c r="H137" s="4">
        <v>32</v>
      </c>
      <c r="I137" s="4">
        <v>1.5</v>
      </c>
      <c r="J137" s="4">
        <v>32</v>
      </c>
      <c r="K137" s="6">
        <v>1404</v>
      </c>
      <c r="L137" s="6">
        <v>14.6</v>
      </c>
      <c r="M137" s="4">
        <v>1.5</v>
      </c>
      <c r="N137" s="8">
        <v>36.409500000000001</v>
      </c>
      <c r="O137" s="8">
        <v>20.636399999999998</v>
      </c>
      <c r="P137" s="8">
        <f t="shared" si="2"/>
        <v>57.045900000000003</v>
      </c>
      <c r="Q137" s="8"/>
      <c r="R137" s="1">
        <v>41.85</v>
      </c>
      <c r="S137" s="1">
        <v>23.72</v>
      </c>
      <c r="T137" s="8">
        <v>65.569999999999993</v>
      </c>
      <c r="U137" s="4" t="s">
        <v>218</v>
      </c>
      <c r="V137" s="4" t="s">
        <v>223</v>
      </c>
      <c r="W137" s="4" t="s">
        <v>232</v>
      </c>
      <c r="X137" s="4" t="s">
        <v>232</v>
      </c>
    </row>
    <row r="138" spans="1:24" s="4" customFormat="1" x14ac:dyDescent="0.25">
      <c r="A138" s="5" t="s">
        <v>19</v>
      </c>
      <c r="B138" s="5">
        <v>2019</v>
      </c>
      <c r="C138" s="5" t="s">
        <v>18</v>
      </c>
      <c r="D138" s="5" t="s">
        <v>76</v>
      </c>
      <c r="E138" s="5">
        <v>46</v>
      </c>
      <c r="F138" s="5">
        <v>2</v>
      </c>
      <c r="G138" s="5">
        <v>99</v>
      </c>
      <c r="H138" s="4">
        <v>34</v>
      </c>
      <c r="I138" s="4">
        <v>2</v>
      </c>
      <c r="J138" s="4">
        <v>32</v>
      </c>
      <c r="K138" s="6">
        <v>1258.9000000000001</v>
      </c>
      <c r="L138" s="6">
        <v>14.9</v>
      </c>
      <c r="M138" s="4">
        <v>1.5</v>
      </c>
      <c r="N138" s="8">
        <v>37.114199999999997</v>
      </c>
      <c r="O138" s="8">
        <v>20.062199999999997</v>
      </c>
      <c r="P138" s="8">
        <f t="shared" si="2"/>
        <v>57.176399999999994</v>
      </c>
      <c r="Q138" s="8"/>
      <c r="R138" s="1">
        <v>42.66</v>
      </c>
      <c r="S138" s="1">
        <v>23.06</v>
      </c>
      <c r="T138" s="8">
        <v>65.72</v>
      </c>
      <c r="U138" s="4" t="s">
        <v>218</v>
      </c>
      <c r="V138" s="4" t="s">
        <v>223</v>
      </c>
      <c r="W138" s="4" t="s">
        <v>232</v>
      </c>
      <c r="X138" s="4" t="s">
        <v>232</v>
      </c>
    </row>
    <row r="139" spans="1:24" s="4" customFormat="1" x14ac:dyDescent="0.25">
      <c r="A139" s="5" t="s">
        <v>19</v>
      </c>
      <c r="B139" s="5">
        <v>2019</v>
      </c>
      <c r="C139" s="5" t="s">
        <v>18</v>
      </c>
      <c r="D139" s="5" t="s">
        <v>76</v>
      </c>
      <c r="E139" s="5">
        <v>46</v>
      </c>
      <c r="F139" s="5">
        <v>3</v>
      </c>
      <c r="G139" s="5">
        <v>143</v>
      </c>
      <c r="I139" s="4" t="s">
        <v>232</v>
      </c>
      <c r="J139" s="4" t="s">
        <v>232</v>
      </c>
      <c r="K139" s="6">
        <v>844.4</v>
      </c>
      <c r="L139" s="6">
        <v>14.6</v>
      </c>
      <c r="M139" s="4">
        <v>2</v>
      </c>
      <c r="N139" s="8">
        <v>36.827100000000002</v>
      </c>
      <c r="O139" s="8">
        <v>19.862099999999998</v>
      </c>
      <c r="P139" s="8">
        <f t="shared" si="2"/>
        <v>56.6892</v>
      </c>
      <c r="Q139" s="8"/>
      <c r="R139" s="1">
        <v>42.33</v>
      </c>
      <c r="S139" s="1">
        <v>22.83</v>
      </c>
      <c r="T139" s="8">
        <v>65.16</v>
      </c>
      <c r="U139" s="4" t="s">
        <v>218</v>
      </c>
      <c r="V139" s="4" t="s">
        <v>223</v>
      </c>
      <c r="W139" s="4" t="s">
        <v>232</v>
      </c>
      <c r="X139" s="4" t="s">
        <v>232</v>
      </c>
    </row>
    <row r="140" spans="1:24" s="4" customFormat="1" x14ac:dyDescent="0.25">
      <c r="A140" s="5" t="s">
        <v>19</v>
      </c>
      <c r="B140" s="5">
        <v>2019</v>
      </c>
      <c r="C140" s="5" t="s">
        <v>18</v>
      </c>
      <c r="D140" s="5" t="s">
        <v>39</v>
      </c>
      <c r="E140" s="5">
        <v>47</v>
      </c>
      <c r="F140" s="5">
        <v>1</v>
      </c>
      <c r="G140" s="5">
        <v>40</v>
      </c>
      <c r="H140" s="4">
        <v>34</v>
      </c>
      <c r="I140" s="4">
        <v>1</v>
      </c>
      <c r="J140" s="4">
        <v>22</v>
      </c>
      <c r="K140" s="6">
        <v>344.2</v>
      </c>
      <c r="L140" s="6">
        <v>17.399999999999999</v>
      </c>
      <c r="M140" s="4">
        <v>1.5</v>
      </c>
      <c r="N140" s="8">
        <v>38.7498</v>
      </c>
      <c r="O140" s="8">
        <v>18.939899999999998</v>
      </c>
      <c r="P140" s="8">
        <f t="shared" si="2"/>
        <v>57.689700000000002</v>
      </c>
      <c r="Q140" s="8"/>
      <c r="R140" s="1">
        <v>44.54</v>
      </c>
      <c r="S140" s="1">
        <v>21.77</v>
      </c>
      <c r="T140" s="8">
        <v>66.31</v>
      </c>
      <c r="U140" s="4" t="s">
        <v>218</v>
      </c>
      <c r="V140" s="4" t="s">
        <v>223</v>
      </c>
      <c r="W140" s="4" t="s">
        <v>232</v>
      </c>
      <c r="X140" s="4" t="s">
        <v>232</v>
      </c>
    </row>
    <row r="141" spans="1:24" s="4" customFormat="1" x14ac:dyDescent="0.25">
      <c r="A141" s="5" t="s">
        <v>19</v>
      </c>
      <c r="B141" s="5">
        <v>2019</v>
      </c>
      <c r="C141" s="5" t="s">
        <v>18</v>
      </c>
      <c r="D141" s="5" t="s">
        <v>39</v>
      </c>
      <c r="E141" s="5">
        <v>47</v>
      </c>
      <c r="F141" s="5">
        <v>2</v>
      </c>
      <c r="G141" s="5">
        <v>70</v>
      </c>
      <c r="H141" s="4">
        <v>36</v>
      </c>
      <c r="I141" s="4">
        <v>1</v>
      </c>
      <c r="J141" s="4">
        <v>24</v>
      </c>
      <c r="K141" s="6">
        <v>973.6</v>
      </c>
      <c r="L141" s="6">
        <v>16.5</v>
      </c>
      <c r="M141" s="4">
        <v>2.5</v>
      </c>
      <c r="N141" s="8">
        <v>38.810699999999997</v>
      </c>
      <c r="O141" s="8">
        <v>18.409199999999998</v>
      </c>
      <c r="P141" s="8">
        <f t="shared" si="2"/>
        <v>57.219899999999996</v>
      </c>
      <c r="Q141" s="8"/>
      <c r="R141" s="1">
        <v>44.61</v>
      </c>
      <c r="S141" s="1">
        <v>21.16</v>
      </c>
      <c r="T141" s="8">
        <v>65.77</v>
      </c>
      <c r="U141" s="4" t="s">
        <v>218</v>
      </c>
      <c r="V141" s="4" t="s">
        <v>223</v>
      </c>
      <c r="W141" s="4" t="s">
        <v>232</v>
      </c>
      <c r="X141" s="4" t="s">
        <v>232</v>
      </c>
    </row>
    <row r="142" spans="1:24" s="4" customFormat="1" x14ac:dyDescent="0.25">
      <c r="A142" s="5" t="s">
        <v>19</v>
      </c>
      <c r="B142" s="5">
        <v>2019</v>
      </c>
      <c r="C142" s="5" t="s">
        <v>18</v>
      </c>
      <c r="D142" s="5" t="s">
        <v>39</v>
      </c>
      <c r="E142" s="5">
        <v>47</v>
      </c>
      <c r="F142" s="5">
        <v>3</v>
      </c>
      <c r="G142" s="5">
        <v>122</v>
      </c>
      <c r="I142" s="4" t="s">
        <v>232</v>
      </c>
      <c r="J142" s="4" t="s">
        <v>232</v>
      </c>
      <c r="K142" s="6">
        <v>775</v>
      </c>
      <c r="L142" s="6">
        <v>17.399999999999999</v>
      </c>
      <c r="M142" s="4">
        <v>2.5</v>
      </c>
      <c r="N142" s="8">
        <v>40.9161</v>
      </c>
      <c r="O142" s="8">
        <v>17.9742</v>
      </c>
      <c r="P142" s="8">
        <f t="shared" si="2"/>
        <v>58.890299999999996</v>
      </c>
      <c r="Q142" s="8"/>
      <c r="R142" s="1">
        <v>47.03</v>
      </c>
      <c r="S142" s="1">
        <v>20.66</v>
      </c>
      <c r="T142" s="8">
        <v>67.69</v>
      </c>
      <c r="U142" s="4" t="s">
        <v>218</v>
      </c>
      <c r="V142" s="4" t="s">
        <v>223</v>
      </c>
      <c r="W142" s="4" t="s">
        <v>232</v>
      </c>
      <c r="X142" s="4" t="s">
        <v>232</v>
      </c>
    </row>
    <row r="143" spans="1:24" s="4" customFormat="1" x14ac:dyDescent="0.25">
      <c r="A143" s="5" t="s">
        <v>19</v>
      </c>
      <c r="B143" s="5">
        <v>2019</v>
      </c>
      <c r="C143" s="5" t="s">
        <v>18</v>
      </c>
      <c r="D143" s="5" t="s">
        <v>74</v>
      </c>
      <c r="E143" s="5">
        <v>48</v>
      </c>
      <c r="F143" s="5">
        <v>1</v>
      </c>
      <c r="G143" s="5">
        <v>29</v>
      </c>
      <c r="H143" s="4">
        <v>30</v>
      </c>
      <c r="I143" s="4">
        <v>1</v>
      </c>
      <c r="J143" s="4">
        <v>20</v>
      </c>
      <c r="K143" s="6">
        <v>1162.8</v>
      </c>
      <c r="L143" s="6">
        <v>12.7</v>
      </c>
      <c r="M143" s="4">
        <v>2</v>
      </c>
      <c r="N143" s="8">
        <v>35.234999999999999</v>
      </c>
      <c r="O143" s="8">
        <v>19.888199999999998</v>
      </c>
      <c r="P143" s="8">
        <f t="shared" si="2"/>
        <v>55.123199999999997</v>
      </c>
      <c r="Q143" s="8"/>
      <c r="R143" s="1">
        <v>40.5</v>
      </c>
      <c r="S143" s="1">
        <v>22.86</v>
      </c>
      <c r="T143" s="8">
        <v>63.36</v>
      </c>
      <c r="U143" s="4" t="s">
        <v>219</v>
      </c>
      <c r="V143" s="4" t="s">
        <v>224</v>
      </c>
      <c r="W143" s="4" t="s">
        <v>232</v>
      </c>
      <c r="X143" s="4" t="s">
        <v>232</v>
      </c>
    </row>
    <row r="144" spans="1:24" s="4" customFormat="1" x14ac:dyDescent="0.25">
      <c r="A144" s="5" t="s">
        <v>19</v>
      </c>
      <c r="B144" s="5">
        <v>2019</v>
      </c>
      <c r="C144" s="5" t="s">
        <v>18</v>
      </c>
      <c r="D144" s="5" t="s">
        <v>74</v>
      </c>
      <c r="E144" s="5">
        <v>48</v>
      </c>
      <c r="F144" s="5">
        <v>2</v>
      </c>
      <c r="G144" s="5">
        <v>89</v>
      </c>
      <c r="H144" s="4">
        <v>30</v>
      </c>
      <c r="I144" s="4">
        <v>1.5</v>
      </c>
      <c r="J144" s="4">
        <v>27</v>
      </c>
      <c r="K144" s="6">
        <v>900.7</v>
      </c>
      <c r="L144" s="6">
        <v>14</v>
      </c>
      <c r="M144" s="4">
        <v>1.5</v>
      </c>
      <c r="N144" s="8">
        <v>34.504199999999997</v>
      </c>
      <c r="O144" s="8">
        <v>20.044799999999999</v>
      </c>
      <c r="P144" s="8">
        <f t="shared" si="2"/>
        <v>54.548999999999992</v>
      </c>
      <c r="Q144" s="8"/>
      <c r="R144" s="1">
        <v>39.659999999999997</v>
      </c>
      <c r="S144" s="1">
        <v>23.04</v>
      </c>
      <c r="T144" s="8">
        <v>62.699999999999996</v>
      </c>
      <c r="U144" s="4" t="s">
        <v>219</v>
      </c>
      <c r="V144" s="4" t="s">
        <v>224</v>
      </c>
      <c r="W144" s="4" t="s">
        <v>228</v>
      </c>
      <c r="X144" s="4" t="s">
        <v>232</v>
      </c>
    </row>
    <row r="145" spans="1:24" s="4" customFormat="1" x14ac:dyDescent="0.25">
      <c r="A145" s="5" t="s">
        <v>19</v>
      </c>
      <c r="B145" s="5">
        <v>2019</v>
      </c>
      <c r="C145" s="5" t="s">
        <v>18</v>
      </c>
      <c r="D145" s="5" t="s">
        <v>74</v>
      </c>
      <c r="E145" s="5">
        <v>48</v>
      </c>
      <c r="F145" s="5">
        <v>3</v>
      </c>
      <c r="G145" s="5">
        <v>149</v>
      </c>
      <c r="I145" s="4" t="s">
        <v>232</v>
      </c>
      <c r="J145" s="4" t="s">
        <v>232</v>
      </c>
      <c r="K145" s="6">
        <v>1009</v>
      </c>
      <c r="L145" s="6">
        <v>13.4</v>
      </c>
      <c r="M145" s="4">
        <v>1</v>
      </c>
      <c r="N145" s="8">
        <v>36.000599999999999</v>
      </c>
      <c r="O145" s="8">
        <v>19.2531</v>
      </c>
      <c r="P145" s="8">
        <f t="shared" si="2"/>
        <v>55.253699999999995</v>
      </c>
      <c r="Q145" s="8"/>
      <c r="R145" s="7">
        <v>41.38</v>
      </c>
      <c r="S145" s="7">
        <v>22.13</v>
      </c>
      <c r="T145" s="8">
        <v>63.510000000000005</v>
      </c>
      <c r="U145" s="4" t="s">
        <v>219</v>
      </c>
      <c r="V145" s="4" t="s">
        <v>224</v>
      </c>
      <c r="W145" s="4" t="s">
        <v>232</v>
      </c>
      <c r="X145" s="4" t="s">
        <v>232</v>
      </c>
    </row>
    <row r="146" spans="1:24" s="4" customFormat="1" x14ac:dyDescent="0.25">
      <c r="A146" s="4" t="s">
        <v>19</v>
      </c>
      <c r="B146" s="4">
        <v>2019</v>
      </c>
      <c r="C146" s="4" t="s">
        <v>18</v>
      </c>
      <c r="D146" s="4" t="s">
        <v>119</v>
      </c>
      <c r="E146" s="4">
        <v>49</v>
      </c>
      <c r="F146" s="4">
        <v>1</v>
      </c>
      <c r="G146" s="4">
        <v>36</v>
      </c>
      <c r="H146" s="4">
        <v>30</v>
      </c>
      <c r="I146" s="4">
        <v>1.5</v>
      </c>
      <c r="J146" s="4">
        <v>25</v>
      </c>
      <c r="K146" s="6">
        <v>1303.0999999999999</v>
      </c>
      <c r="L146" s="6">
        <v>13.9</v>
      </c>
      <c r="M146" s="4">
        <v>1.5</v>
      </c>
      <c r="N146" s="8">
        <v>37.305600000000005</v>
      </c>
      <c r="O146" s="8">
        <v>19.662000000000003</v>
      </c>
      <c r="P146" s="8">
        <f t="shared" si="2"/>
        <v>56.967600000000004</v>
      </c>
      <c r="Q146" s="8"/>
      <c r="R146" s="1">
        <v>42.88</v>
      </c>
      <c r="S146" s="1">
        <v>22.6</v>
      </c>
      <c r="T146" s="8">
        <v>65.48</v>
      </c>
      <c r="U146" s="4" t="s">
        <v>218</v>
      </c>
      <c r="V146" s="4" t="s">
        <v>224</v>
      </c>
      <c r="W146" s="4" t="s">
        <v>225</v>
      </c>
      <c r="X146" s="4" t="s">
        <v>232</v>
      </c>
    </row>
    <row r="147" spans="1:24" s="4" customFormat="1" x14ac:dyDescent="0.25">
      <c r="A147" s="5" t="s">
        <v>19</v>
      </c>
      <c r="B147" s="5">
        <v>2019</v>
      </c>
      <c r="C147" s="5" t="s">
        <v>18</v>
      </c>
      <c r="D147" s="5" t="s">
        <v>119</v>
      </c>
      <c r="E147" s="5">
        <v>49</v>
      </c>
      <c r="F147" s="5">
        <v>2</v>
      </c>
      <c r="G147" s="5">
        <v>53</v>
      </c>
      <c r="H147" s="4">
        <v>30</v>
      </c>
      <c r="I147" s="4">
        <v>1</v>
      </c>
      <c r="J147" s="4">
        <v>24</v>
      </c>
      <c r="K147" s="6">
        <v>1119.5999999999999</v>
      </c>
      <c r="L147" s="6">
        <v>15.3</v>
      </c>
      <c r="M147" s="4">
        <v>1</v>
      </c>
      <c r="N147" s="8">
        <v>38.375700000000002</v>
      </c>
      <c r="O147" s="8">
        <v>18.9312</v>
      </c>
      <c r="P147" s="8">
        <f t="shared" si="2"/>
        <v>57.306899999999999</v>
      </c>
      <c r="Q147" s="8"/>
      <c r="R147" s="1">
        <v>44.11</v>
      </c>
      <c r="S147" s="1">
        <v>21.76</v>
      </c>
      <c r="T147" s="8">
        <v>65.87</v>
      </c>
      <c r="U147" s="4" t="s">
        <v>218</v>
      </c>
      <c r="V147" s="4" t="s">
        <v>224</v>
      </c>
      <c r="W147" s="4" t="s">
        <v>232</v>
      </c>
      <c r="X147" s="4" t="s">
        <v>232</v>
      </c>
    </row>
    <row r="148" spans="1:24" s="4" customFormat="1" x14ac:dyDescent="0.25">
      <c r="A148" s="5" t="s">
        <v>19</v>
      </c>
      <c r="B148" s="5">
        <v>2019</v>
      </c>
      <c r="C148" s="5" t="s">
        <v>18</v>
      </c>
      <c r="D148" s="5" t="s">
        <v>119</v>
      </c>
      <c r="E148" s="5">
        <v>49</v>
      </c>
      <c r="F148" s="5">
        <v>3</v>
      </c>
      <c r="G148" s="5">
        <v>123</v>
      </c>
      <c r="I148" s="4" t="s">
        <v>232</v>
      </c>
      <c r="J148" s="4" t="s">
        <v>232</v>
      </c>
      <c r="K148" s="6">
        <v>701.6</v>
      </c>
      <c r="L148" s="6">
        <v>12.5</v>
      </c>
      <c r="M148" s="4">
        <v>1.5</v>
      </c>
      <c r="N148" s="8">
        <v>37.923300000000005</v>
      </c>
      <c r="O148" s="8">
        <v>18.966000000000001</v>
      </c>
      <c r="P148" s="8">
        <f t="shared" si="2"/>
        <v>56.889300000000006</v>
      </c>
      <c r="Q148" s="8"/>
      <c r="R148" s="7">
        <v>43.59</v>
      </c>
      <c r="S148" s="7">
        <v>21.8</v>
      </c>
      <c r="T148" s="8">
        <v>65.39</v>
      </c>
      <c r="U148" s="4" t="s">
        <v>218</v>
      </c>
      <c r="V148" s="4" t="s">
        <v>224</v>
      </c>
      <c r="W148" s="4" t="s">
        <v>232</v>
      </c>
      <c r="X148" s="4" t="s">
        <v>232</v>
      </c>
    </row>
    <row r="149" spans="1:24" s="4" customFormat="1" x14ac:dyDescent="0.25">
      <c r="A149" s="4" t="s">
        <v>19</v>
      </c>
      <c r="B149" s="4">
        <v>2019</v>
      </c>
      <c r="C149" s="4" t="s">
        <v>18</v>
      </c>
      <c r="D149" s="4" t="s">
        <v>21</v>
      </c>
      <c r="E149" s="4">
        <v>50</v>
      </c>
      <c r="F149" s="4">
        <v>1</v>
      </c>
      <c r="G149" s="4">
        <v>27</v>
      </c>
      <c r="H149" s="4">
        <v>31</v>
      </c>
      <c r="I149" s="4">
        <v>1</v>
      </c>
      <c r="J149" s="4">
        <v>28</v>
      </c>
      <c r="K149" s="6">
        <v>1213.5</v>
      </c>
      <c r="L149" s="6">
        <v>14.3</v>
      </c>
      <c r="M149" s="4">
        <v>1.5</v>
      </c>
      <c r="N149" s="8">
        <v>35.722200000000001</v>
      </c>
      <c r="O149" s="8">
        <v>20.1492</v>
      </c>
      <c r="P149" s="8">
        <f t="shared" si="2"/>
        <v>55.871400000000001</v>
      </c>
      <c r="Q149" s="8"/>
      <c r="R149" s="1">
        <v>41.06</v>
      </c>
      <c r="S149" s="1">
        <v>23.16</v>
      </c>
      <c r="T149" s="8">
        <v>64.22</v>
      </c>
      <c r="U149" s="4" t="s">
        <v>219</v>
      </c>
      <c r="V149" s="4" t="s">
        <v>224</v>
      </c>
      <c r="W149" s="4" t="s">
        <v>232</v>
      </c>
      <c r="X149" s="4" t="s">
        <v>232</v>
      </c>
    </row>
    <row r="150" spans="1:24" s="4" customFormat="1" x14ac:dyDescent="0.25">
      <c r="A150" s="5" t="s">
        <v>19</v>
      </c>
      <c r="B150" s="5">
        <v>2019</v>
      </c>
      <c r="C150" s="5" t="s">
        <v>18</v>
      </c>
      <c r="D150" s="5" t="s">
        <v>21</v>
      </c>
      <c r="E150" s="5">
        <v>50</v>
      </c>
      <c r="F150" s="5">
        <v>2</v>
      </c>
      <c r="G150" s="5">
        <v>51</v>
      </c>
      <c r="H150" s="4">
        <v>31</v>
      </c>
      <c r="I150" s="4">
        <v>1</v>
      </c>
      <c r="J150" s="4">
        <v>26</v>
      </c>
      <c r="K150" s="6">
        <v>1253.3</v>
      </c>
      <c r="L150" s="6">
        <v>15.4</v>
      </c>
      <c r="M150" s="4">
        <v>1</v>
      </c>
      <c r="N150" s="8">
        <v>36.592199999999998</v>
      </c>
      <c r="O150" s="8">
        <v>19.496700000000001</v>
      </c>
      <c r="P150" s="8">
        <f t="shared" si="2"/>
        <v>56.088899999999995</v>
      </c>
      <c r="Q150" s="8"/>
      <c r="R150" s="1">
        <v>42.06</v>
      </c>
      <c r="S150" s="1">
        <v>22.41</v>
      </c>
      <c r="T150" s="8">
        <v>64.47</v>
      </c>
      <c r="U150" s="4" t="s">
        <v>219</v>
      </c>
      <c r="V150" s="4" t="s">
        <v>224</v>
      </c>
      <c r="W150" s="4" t="s">
        <v>232</v>
      </c>
      <c r="X150" s="4" t="s">
        <v>232</v>
      </c>
    </row>
    <row r="151" spans="1:24" s="4" customFormat="1" x14ac:dyDescent="0.25">
      <c r="A151" s="4" t="s">
        <v>19</v>
      </c>
      <c r="B151" s="4">
        <v>2019</v>
      </c>
      <c r="C151" s="4" t="s">
        <v>18</v>
      </c>
      <c r="D151" s="4" t="s">
        <v>21</v>
      </c>
      <c r="E151" s="4">
        <v>50</v>
      </c>
      <c r="F151" s="4">
        <v>3</v>
      </c>
      <c r="G151" s="4">
        <v>125</v>
      </c>
      <c r="I151" s="4" t="s">
        <v>232</v>
      </c>
      <c r="J151" s="4" t="s">
        <v>232</v>
      </c>
      <c r="K151" s="6">
        <v>862</v>
      </c>
      <c r="L151" s="6">
        <v>15.2</v>
      </c>
      <c r="M151" s="4">
        <v>2</v>
      </c>
      <c r="N151" s="8">
        <v>38.201699999999995</v>
      </c>
      <c r="O151" s="8">
        <v>18.5745</v>
      </c>
      <c r="P151" s="8">
        <f t="shared" si="2"/>
        <v>56.776199999999996</v>
      </c>
      <c r="Q151" s="8"/>
      <c r="R151" s="7">
        <v>43.91</v>
      </c>
      <c r="S151" s="7">
        <v>21.35</v>
      </c>
      <c r="T151" s="8">
        <v>65.259999999999991</v>
      </c>
      <c r="U151" s="4" t="s">
        <v>219</v>
      </c>
      <c r="V151" s="4" t="s">
        <v>224</v>
      </c>
      <c r="W151" s="4" t="s">
        <v>232</v>
      </c>
      <c r="X151" s="4" t="s">
        <v>232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371475</xdr:colOff>
                <xdr:row>3</xdr:row>
                <xdr:rowOff>76200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2020-01-15T18:28:33Z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