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325" codeName="{2109D909-C6D8-E34B-4C66-09127ED2DC4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huie\Nextcloud\MIAN\2019 Mian\2019 Mian Test Data\"/>
    </mc:Choice>
  </mc:AlternateContent>
  <xr:revisionPtr revIDLastSave="0" documentId="13_ncr:1_{729E8492-2A20-4259-9A33-6C24F02CF265}" xr6:coauthVersionLast="45" xr6:coauthVersionMax="45" xr10:uidLastSave="{00000000-0000-0000-0000-000000000000}"/>
  <bookViews>
    <workbookView xWindow="-120" yWindow="-120" windowWidth="29040" windowHeight="15840" activeTab="1" xr2:uid="{00000000-000D-0000-FFFF-FFFF00000000}"/>
  </bookViews>
  <sheets>
    <sheet name="Sheet1" sheetId="1" r:id="rId1"/>
    <sheet name="SAS ready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U3" i="1" l="1"/>
  <c r="U4" i="1"/>
  <c r="U6" i="1"/>
  <c r="U7" i="1"/>
  <c r="U8" i="1"/>
  <c r="U10" i="1"/>
  <c r="U11" i="1"/>
  <c r="U12" i="1"/>
  <c r="U14" i="1"/>
  <c r="U15" i="1"/>
  <c r="U16" i="1"/>
  <c r="U18" i="1"/>
  <c r="U19" i="1"/>
  <c r="U20" i="1"/>
  <c r="U22" i="1"/>
  <c r="U23" i="1"/>
  <c r="U24" i="1"/>
  <c r="U26" i="1"/>
  <c r="U27" i="1"/>
  <c r="U28" i="1"/>
  <c r="U30" i="1"/>
  <c r="U31" i="1"/>
  <c r="U32" i="1"/>
  <c r="U34" i="1"/>
  <c r="U35" i="1"/>
  <c r="U36" i="1"/>
  <c r="U38" i="1"/>
  <c r="U39" i="1"/>
  <c r="U40" i="1"/>
  <c r="U42" i="1"/>
  <c r="U43" i="1"/>
  <c r="U44" i="1"/>
  <c r="U46" i="1"/>
  <c r="U47" i="1"/>
  <c r="U48" i="1"/>
  <c r="U50" i="1"/>
  <c r="U51" i="1"/>
  <c r="U52" i="1"/>
  <c r="U54" i="1"/>
  <c r="U55" i="1"/>
  <c r="U56" i="1"/>
  <c r="U58" i="1"/>
  <c r="U59" i="1"/>
  <c r="U60" i="1"/>
  <c r="U62" i="1"/>
  <c r="U63" i="1"/>
  <c r="U64" i="1"/>
  <c r="U66" i="1"/>
  <c r="U67" i="1"/>
  <c r="U68" i="1"/>
  <c r="U70" i="1"/>
  <c r="U71" i="1"/>
  <c r="U72" i="1"/>
  <c r="U74" i="1"/>
  <c r="U75" i="1"/>
  <c r="U76" i="1"/>
  <c r="U78" i="1"/>
  <c r="U79" i="1"/>
  <c r="U80" i="1"/>
  <c r="U82" i="1"/>
  <c r="U83" i="1"/>
  <c r="U84" i="1"/>
  <c r="U86" i="1"/>
  <c r="U87" i="1"/>
  <c r="U88" i="1"/>
  <c r="U90" i="1"/>
  <c r="U91" i="1"/>
  <c r="U92" i="1"/>
  <c r="U94" i="1"/>
  <c r="U95" i="1"/>
  <c r="U96" i="1"/>
  <c r="U98" i="1"/>
  <c r="U99" i="1"/>
  <c r="U100" i="1"/>
  <c r="U2" i="1"/>
  <c r="T3" i="1"/>
  <c r="T4" i="1"/>
  <c r="T6" i="1"/>
  <c r="T7" i="1"/>
  <c r="T8" i="1"/>
  <c r="T10" i="1"/>
  <c r="T11" i="1"/>
  <c r="T12" i="1"/>
  <c r="T14" i="1"/>
  <c r="T15" i="1"/>
  <c r="T16" i="1"/>
  <c r="T18" i="1"/>
  <c r="T19" i="1"/>
  <c r="T20" i="1"/>
  <c r="T22" i="1"/>
  <c r="T23" i="1"/>
  <c r="T24" i="1"/>
  <c r="T26" i="1"/>
  <c r="T27" i="1"/>
  <c r="T28" i="1"/>
  <c r="T30" i="1"/>
  <c r="T31" i="1"/>
  <c r="T32" i="1"/>
  <c r="T34" i="1"/>
  <c r="T35" i="1"/>
  <c r="T36" i="1"/>
  <c r="T38" i="1"/>
  <c r="T39" i="1"/>
  <c r="T40" i="1"/>
  <c r="T42" i="1"/>
  <c r="T43" i="1"/>
  <c r="T44" i="1"/>
  <c r="T46" i="1"/>
  <c r="T47" i="1"/>
  <c r="T48" i="1"/>
  <c r="T50" i="1"/>
  <c r="T51" i="1"/>
  <c r="T52" i="1"/>
  <c r="T54" i="1"/>
  <c r="T55" i="1"/>
  <c r="T56" i="1"/>
  <c r="T58" i="1"/>
  <c r="T59" i="1"/>
  <c r="T60" i="1"/>
  <c r="T62" i="1"/>
  <c r="T63" i="1"/>
  <c r="T64" i="1"/>
  <c r="T66" i="1"/>
  <c r="T67" i="1"/>
  <c r="T68" i="1"/>
  <c r="T70" i="1"/>
  <c r="T71" i="1"/>
  <c r="T72" i="1"/>
  <c r="T74" i="1"/>
  <c r="T75" i="1"/>
  <c r="T76" i="1"/>
  <c r="T78" i="1"/>
  <c r="T79" i="1"/>
  <c r="T80" i="1"/>
  <c r="T82" i="1"/>
  <c r="T83" i="1"/>
  <c r="T84" i="1"/>
  <c r="T86" i="1"/>
  <c r="T87" i="1"/>
  <c r="T88" i="1"/>
  <c r="T90" i="1"/>
  <c r="T91" i="1"/>
  <c r="T92" i="1"/>
  <c r="T94" i="1"/>
  <c r="T95" i="1"/>
  <c r="T96" i="1"/>
  <c r="T98" i="1"/>
  <c r="T99" i="1"/>
  <c r="T100" i="1"/>
  <c r="T2" i="1"/>
  <c r="S3" i="1"/>
  <c r="S4" i="1"/>
  <c r="S6" i="1"/>
  <c r="S7" i="1"/>
  <c r="S8" i="1"/>
  <c r="S10" i="1"/>
  <c r="S11" i="1"/>
  <c r="S12" i="1"/>
  <c r="S14" i="1"/>
  <c r="S15" i="1"/>
  <c r="S16" i="1"/>
  <c r="S18" i="1"/>
  <c r="S19" i="1"/>
  <c r="S20" i="1"/>
  <c r="S22" i="1"/>
  <c r="S23" i="1"/>
  <c r="S24" i="1"/>
  <c r="S26" i="1"/>
  <c r="S27" i="1"/>
  <c r="S28" i="1"/>
  <c r="S30" i="1"/>
  <c r="S31" i="1"/>
  <c r="S32" i="1"/>
  <c r="S34" i="1"/>
  <c r="S35" i="1"/>
  <c r="S36" i="1"/>
  <c r="S38" i="1"/>
  <c r="S39" i="1"/>
  <c r="S40" i="1"/>
  <c r="S42" i="1"/>
  <c r="S43" i="1"/>
  <c r="S44" i="1"/>
  <c r="S46" i="1"/>
  <c r="S47" i="1"/>
  <c r="S48" i="1"/>
  <c r="S50" i="1"/>
  <c r="S51" i="1"/>
  <c r="S52" i="1"/>
  <c r="S54" i="1"/>
  <c r="S55" i="1"/>
  <c r="S56" i="1"/>
  <c r="S58" i="1"/>
  <c r="S59" i="1"/>
  <c r="S60" i="1"/>
  <c r="S62" i="1"/>
  <c r="S63" i="1"/>
  <c r="S64" i="1"/>
  <c r="S66" i="1"/>
  <c r="S67" i="1"/>
  <c r="S68" i="1"/>
  <c r="S70" i="1"/>
  <c r="S71" i="1"/>
  <c r="S72" i="1"/>
  <c r="S74" i="1"/>
  <c r="S75" i="1"/>
  <c r="S76" i="1"/>
  <c r="S78" i="1"/>
  <c r="S79" i="1"/>
  <c r="S80" i="1"/>
  <c r="S82" i="1"/>
  <c r="S83" i="1"/>
  <c r="S84" i="1"/>
  <c r="S86" i="1"/>
  <c r="S87" i="1"/>
  <c r="S88" i="1"/>
  <c r="S90" i="1"/>
  <c r="S91" i="1"/>
  <c r="S92" i="1"/>
  <c r="S94" i="1"/>
  <c r="S95" i="1"/>
  <c r="S96" i="1"/>
  <c r="S98" i="1"/>
  <c r="S99" i="1"/>
  <c r="S100" i="1"/>
  <c r="S2" i="1"/>
</calcChain>
</file>

<file path=xl/sharedStrings.xml><?xml version="1.0" encoding="utf-8"?>
<sst xmlns="http://schemas.openxmlformats.org/spreadsheetml/2006/main" count="2091" uniqueCount="168">
  <si>
    <t>Genotype</t>
  </si>
  <si>
    <t>Loc</t>
  </si>
  <si>
    <t>Test</t>
  </si>
  <si>
    <t>Year</t>
  </si>
  <si>
    <t>Rep</t>
  </si>
  <si>
    <t>Code</t>
  </si>
  <si>
    <t>Plot</t>
  </si>
  <si>
    <t>FC</t>
  </si>
  <si>
    <t>MD</t>
  </si>
  <si>
    <t>PC</t>
  </si>
  <si>
    <t>LOD</t>
  </si>
  <si>
    <t>HT</t>
  </si>
  <si>
    <t>Yield</t>
  </si>
  <si>
    <t>SDWT</t>
  </si>
  <si>
    <t>Note1</t>
  </si>
  <si>
    <t>ID</t>
  </si>
  <si>
    <t>1*39 N17-474*LU 4 Late*Cla*2019*16</t>
  </si>
  <si>
    <t>Cla</t>
  </si>
  <si>
    <t>LU 4 Late</t>
  </si>
  <si>
    <t>51*09 N17-697*LU 4 Late*Cla*2019*20</t>
  </si>
  <si>
    <t>99*03 N17-40*LU 4 Late*Cla*2019*3</t>
  </si>
  <si>
    <t>10*11 N17-839*LU 4 Late*Cla*2019*21</t>
  </si>
  <si>
    <t>60*37 N17-462*LU 4 Late*Cla*2019*15</t>
  </si>
  <si>
    <t>92*08 N17-643*LU 4 Late*Cla*2019*19</t>
  </si>
  <si>
    <t>11*Osage*LU 4 Late*Cla*2019*25</t>
  </si>
  <si>
    <t>Osage</t>
  </si>
  <si>
    <t>61*31 N17-389*LU 4 Late*Cla*2019*13</t>
  </si>
  <si>
    <t>89*Osage*LU 4 Late*Cla*2019*25</t>
  </si>
  <si>
    <t>20*23 N17-646*LU 4 Late*Cla*2019*22</t>
  </si>
  <si>
    <t>70*20 N17-262*LU 4 Late*Cla*2019*10</t>
  </si>
  <si>
    <t>82*39 N17-474*LU 4 Late*Cla*2019*16</t>
  </si>
  <si>
    <t>21*01 N17-19*LU 4 Late*Cla*2019*1</t>
  </si>
  <si>
    <t>71*11 N17-839*LU 4 Late*Cla*2019*21</t>
  </si>
  <si>
    <t>79*19 N17-259*LU 4 Late*Cla*2019*9</t>
  </si>
  <si>
    <t>30*31 N17-389*LU 4 Late*Cla*2019*13</t>
  </si>
  <si>
    <t>80*01 N17-19*LU 4 Late*Cla*2019*1</t>
  </si>
  <si>
    <t>72*33 N17-404*LU 4 Late*Cla*2019*14</t>
  </si>
  <si>
    <t>31*Ellis*LU 4 Late*Cla*2019*23</t>
  </si>
  <si>
    <t>Ellis</t>
  </si>
  <si>
    <t>81*02 N17-21*LU 4 Late*Cla*2019*2</t>
  </si>
  <si>
    <t>69*08 N17-643*LU 4 Late*Cla*2019*19</t>
  </si>
  <si>
    <t>40*23 N17-646*LU 4 Late*Cla*2019*22</t>
  </si>
  <si>
    <t>90*05 N17-1064*LU 4 Late*Cla*2019*18</t>
  </si>
  <si>
    <t>62*18 N17-249*LU 4 Late*Cla*2019*8</t>
  </si>
  <si>
    <t>41*13 N17-191*LU 4 Late*Cla*2019*5</t>
  </si>
  <si>
    <t>91*37 N17-462*LU 4 Late*Cla*2019*15</t>
  </si>
  <si>
    <t>59*04 N17-46*LU 4 Late*Cla*2019*4</t>
  </si>
  <si>
    <t>100*04 N17-46*LU 4 Late*Cla*2019*4</t>
  </si>
  <si>
    <t>49*03 N17-896*LU 4 Late*Cla*2019*17</t>
  </si>
  <si>
    <t>3*09 N17-697*LU 4 Late*Cla*2019*20</t>
  </si>
  <si>
    <t>53*39 N17-474*LU 4 Late*Cla*2019*16</t>
  </si>
  <si>
    <t>42*37 N17-462*LU 4 Late*Cla*2019*15</t>
  </si>
  <si>
    <t>8*Ellis*LU 4 Late*Cla*2019*23</t>
  </si>
  <si>
    <t>58*01 N17-19*LU 4 Late*Cla*2019*1</t>
  </si>
  <si>
    <t>39*20 N17-262*LU 4 Late*Cla*2019*10</t>
  </si>
  <si>
    <t>13*02 N17-21*LU 4 Late*Cla*2019*2</t>
  </si>
  <si>
    <t>63*26 N17-332*LU 4 Late*Cla*2019*12</t>
  </si>
  <si>
    <t>32*18 N17-249*LU 4 Late*Cla*2019*8</t>
  </si>
  <si>
    <t>18*03 N17-896*LU 4 Late*Cla*2019*17</t>
  </si>
  <si>
    <t>68*21 N17-264*LU 4 Late*Cla*2019*11</t>
  </si>
  <si>
    <t>29*11 N17-839*LU 4 Late*Cla*2019*21</t>
  </si>
  <si>
    <t>23*13 N17-191*LU 4 Late*Cla*2019*5</t>
  </si>
  <si>
    <t>73*03 N17-896*LU 4 Late*Cla*2019*17</t>
  </si>
  <si>
    <t>22*19 N17-259*LU 4 Late*Cla*2019*9</t>
  </si>
  <si>
    <t>28*08 N17-643*LU 4 Late*Cla*2019*19</t>
  </si>
  <si>
    <t>78*13 N17-191*LU 4 Late*Cla*2019*5</t>
  </si>
  <si>
    <t>19*26 N17-332*LU 4 Late*Cla*2019*12</t>
  </si>
  <si>
    <t>33*01 N17-19*LU 4 Late*Cla*2019*1</t>
  </si>
  <si>
    <t>83*Ellis*LU 4 Late*Cla*2019*23</t>
  </si>
  <si>
    <t>38*15 N17-214*LU 4 Late*Cla*2019*6</t>
  </si>
  <si>
    <t>88*17 N17-233*LU 4 Late*Cla*2019*7</t>
  </si>
  <si>
    <t>9*03 N17-40*LU 4 Late*Cla*2019*3</t>
  </si>
  <si>
    <t>43*39 N17-474*LU 4 Late*Cla*2019*16</t>
  </si>
  <si>
    <t>93*33 N17-404*LU 4 Late*Cla*2019*14</t>
  </si>
  <si>
    <t>2*20 N17-262*LU 4 Late*Cla*2019*10</t>
  </si>
  <si>
    <t>48*17 N17-233*LU 4 Late*Cla*2019*7</t>
  </si>
  <si>
    <t>98*03 N17-896*LU 4 Late*Cla*2019*17</t>
  </si>
  <si>
    <t>97*21 N17-264*LU 4 Late*Cla*2019*11</t>
  </si>
  <si>
    <t>47*03 N17-40*LU 4 Late*Cla*2019*3</t>
  </si>
  <si>
    <t>5*17 N17-233*LU 4 Late*Cla*2019*7</t>
  </si>
  <si>
    <t>94*23 N17-646*LU 4 Late*Cla*2019*22</t>
  </si>
  <si>
    <t>44*09 N17-697*LU 4 Late*Cla*2019*20</t>
  </si>
  <si>
    <t>6*21 N17-264*LU 4 Late*Cla*2019*11</t>
  </si>
  <si>
    <t>87*26 N17-332*LU 4 Late*Cla*2019*12</t>
  </si>
  <si>
    <t>37*05 N17-1064*LU 4 Late*Cla*2019*18</t>
  </si>
  <si>
    <t>15*04 N17-46*LU 4 Late*Cla*2019*4</t>
  </si>
  <si>
    <t>84*11 N17-839*LU 4 Late*Cla*2019*21</t>
  </si>
  <si>
    <t>34*21 N17-264*LU 4 Late*Cla*2019*11</t>
  </si>
  <si>
    <t>16*31 N17-389*LU 4 Late*Cla*2019*13</t>
  </si>
  <si>
    <t>27*19 N17-259*LU 4 Late*Cla*2019*9</t>
  </si>
  <si>
    <t>25*37 N17-462*LU 4 Late*Cla*2019*15</t>
  </si>
  <si>
    <t>74*05 N17-1064*LU 4 Late*Cla*2019*18</t>
  </si>
  <si>
    <t>24*08 N17-643*LU 4 Late*Cla*2019*19</t>
  </si>
  <si>
    <t>26*33 N17-404*LU 4 Late*Cla*2019*14</t>
  </si>
  <si>
    <t>67*02 N17-21*LU 4 Late*Cla*2019*2</t>
  </si>
  <si>
    <t>17*33 N17-404*LU 4 Late*Cla*2019*14</t>
  </si>
  <si>
    <t>35*04 N17-46*LU 4 Late*Cla*2019*4</t>
  </si>
  <si>
    <t>64*Ellis*LU 4 Late*Cla*2019*23</t>
  </si>
  <si>
    <t>14*05 N17-1064*LU 4 Late*Cla*2019*18</t>
  </si>
  <si>
    <t>36*02 N17-21*LU 4 Late*Cla*2019*2</t>
  </si>
  <si>
    <t>57*15 N17-214*LU 4 Late*Cla*2019*6</t>
  </si>
  <si>
    <t>7*15 N17-214*LU 4 Late*Cla*2019*6</t>
  </si>
  <si>
    <t>45*Osage*LU 4 Late*Cla*2019*25</t>
  </si>
  <si>
    <t>54*17 N17-233*LU 4 Late*Cla*2019*7</t>
  </si>
  <si>
    <t>4*18 N17-249*LU 4 Late*Cla*2019*8</t>
  </si>
  <si>
    <t>46*26 N17-332*LU 4 Late*Cla*2019*12</t>
  </si>
  <si>
    <t>55*23 N17-646*LU 4 Late*Cla*2019*22</t>
  </si>
  <si>
    <t>75*13 N17-191*LU 4 Late*Cla*2019*5</t>
  </si>
  <si>
    <t>86*31 N17-389*LU 4 Late*Cla*2019*13</t>
  </si>
  <si>
    <t>56*03 N17-40*LU 4 Late*Cla*2019*3</t>
  </si>
  <si>
    <t>76*15 N17-214*LU 4 Late*Cla*2019*6</t>
  </si>
  <si>
    <t>95*09 N17-697*LU 4 Late*Cla*2019*20</t>
  </si>
  <si>
    <t>65*19 N17-259*LU 4 Late*Cla*2019*9</t>
  </si>
  <si>
    <t>85*20 N17-262*LU 4 Late*Cla*2019*10</t>
  </si>
  <si>
    <t>96*18 N17-249*LU 4 Late*Cla*2019*8</t>
  </si>
  <si>
    <t>66*Osage*LU 4 Late*Cla*2019*25</t>
  </si>
  <si>
    <t>P</t>
  </si>
  <si>
    <t>W</t>
  </si>
  <si>
    <t>FP</t>
  </si>
  <si>
    <t>.</t>
  </si>
  <si>
    <t>50% green</t>
  </si>
  <si>
    <t>gs</t>
  </si>
  <si>
    <t>g</t>
  </si>
  <si>
    <t>t</t>
  </si>
  <si>
    <t>f</t>
  </si>
  <si>
    <t>SQ</t>
  </si>
  <si>
    <t>sh</t>
  </si>
  <si>
    <t>ah</t>
  </si>
  <si>
    <t>shriveled</t>
  </si>
  <si>
    <t>S13-10592C</t>
  </si>
  <si>
    <t>12*S13-10592C*LU 4 Late*Cla*2019*24</t>
  </si>
  <si>
    <t>50*S13-10592C*LU 4 Late*Cla*2019*24</t>
  </si>
  <si>
    <t>52*S13-10592C*LU 4 Late*Cla*2019*24</t>
  </si>
  <si>
    <t>77*S13-10592C*LU 4 Late*Cla*2019*24</t>
  </si>
  <si>
    <t>Pro</t>
  </si>
  <si>
    <t>Oil</t>
  </si>
  <si>
    <t>P+O</t>
  </si>
  <si>
    <t>Pro 13%M</t>
  </si>
  <si>
    <t>Oil 13%M</t>
  </si>
  <si>
    <t>N17-19</t>
  </si>
  <si>
    <t>N17-21</t>
  </si>
  <si>
    <t>N17-40</t>
  </si>
  <si>
    <t>N17-46</t>
  </si>
  <si>
    <t>N17-191</t>
  </si>
  <si>
    <t>N17-214</t>
  </si>
  <si>
    <t>N17-233</t>
  </si>
  <si>
    <t>N17-249</t>
  </si>
  <si>
    <t>N17-259</t>
  </si>
  <si>
    <t>N17-262</t>
  </si>
  <si>
    <t>N17-264</t>
  </si>
  <si>
    <t>N17-332</t>
  </si>
  <si>
    <t>N17-389</t>
  </si>
  <si>
    <t>N17-404</t>
  </si>
  <si>
    <t>N17-462</t>
  </si>
  <si>
    <t>N17-474</t>
  </si>
  <si>
    <t>N17-896</t>
  </si>
  <si>
    <t>N17-1064</t>
  </si>
  <si>
    <t>N17-643</t>
  </si>
  <si>
    <t>N17-697</t>
  </si>
  <si>
    <t>N17-839</t>
  </si>
  <si>
    <t>N17-646</t>
  </si>
  <si>
    <t>Pro 13%</t>
  </si>
  <si>
    <t>Oil 13%</t>
  </si>
  <si>
    <t>PO13</t>
  </si>
  <si>
    <t>Yieldg</t>
  </si>
  <si>
    <t>ProD</t>
  </si>
  <si>
    <t>OilD</t>
  </si>
  <si>
    <t>POD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</si>
</sst>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color theme="1"/>
      <name val="Times New Roman"/>
      <family val="2"/>
    </font>
    <font>
      <sz val="12"/>
      <color theme="1"/>
      <name val="Times New Roman"/>
      <family val="1"/>
    </font>
    <font>
      <sz val="12"/>
      <name val="Times New Roman"/>
      <family val="1"/>
    </font>
    <font>
      <b/>
      <sz val="12"/>
      <color theme="1"/>
      <name val="Times New Roman"/>
      <family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Fill="1" applyAlignment="1">
      <alignment horizontal="center"/>
    </xf>
    <xf numFmtId="0" fontId="2" fillId="0" borderId="0" xfId="0" applyFont="1" applyFill="1" applyAlignment="1">
      <alignment horizontal="center" vertical="top"/>
    </xf>
    <xf numFmtId="0" fontId="2" fillId="0" borderId="0" xfId="0" applyFont="1" applyFill="1" applyAlignment="1">
      <alignment horizontal="center"/>
    </xf>
    <xf numFmtId="2" fontId="2" fillId="0" borderId="0" xfId="0" applyNumberFormat="1" applyFont="1" applyFill="1" applyAlignment="1">
      <alignment horizontal="center" vertical="top"/>
    </xf>
    <xf numFmtId="2" fontId="1" fillId="0" borderId="0" xfId="0" applyNumberFormat="1" applyFont="1" applyFill="1" applyAlignment="1">
      <alignment horizontal="center"/>
    </xf>
    <xf numFmtId="2" fontId="1" fillId="0" borderId="0" xfId="0" applyNumberFormat="1" applyFont="1" applyAlignment="1">
      <alignment horizontal="center"/>
    </xf>
    <xf numFmtId="0" fontId="3" fillId="0" borderId="0" xfId="0" applyNumberFormat="1" applyFont="1" applyFill="1" applyBorder="1" applyAlignment="1" applyProtection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28575</xdr:colOff>
          <xdr:row>64</xdr:row>
          <xdr:rowOff>9525</xdr:rowOff>
        </xdr:from>
        <xdr:to>
          <xdr:col>25</xdr:col>
          <xdr:colOff>276225</xdr:colOff>
          <xdr:row>66</xdr:row>
          <xdr:rowOff>66675</xdr:rowOff>
        </xdr:to>
        <xdr:sp macro="" textlink="">
          <xdr:nvSpPr>
            <xdr:cNvPr id="2049" name="cmdRu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Y102"/>
  <sheetViews>
    <sheetView zoomScale="90" zoomScaleNormal="90" zoomScaleSheetLayoutView="69" workbookViewId="0">
      <selection activeCell="K2" sqref="K2"/>
    </sheetView>
  </sheetViews>
  <sheetFormatPr defaultColWidth="9.33203125" defaultRowHeight="15.75" x14ac:dyDescent="0.25"/>
  <cols>
    <col min="1" max="1" width="11.83203125" style="1" customWidth="1"/>
    <col min="2" max="2" width="14.83203125" style="1" customWidth="1"/>
    <col min="3" max="3" width="5.1640625" style="1" bestFit="1" customWidth="1"/>
    <col min="4" max="4" width="11.6640625" style="1" bestFit="1" customWidth="1"/>
    <col min="5" max="5" width="12" style="1" customWidth="1"/>
    <col min="6" max="6" width="7.33203125" style="1" customWidth="1"/>
    <col min="7" max="7" width="7" style="1" customWidth="1"/>
    <col min="8" max="8" width="7.6640625" style="1" customWidth="1"/>
    <col min="9" max="9" width="7.1640625" style="1" customWidth="1"/>
    <col min="10" max="10" width="7.6640625" style="1" customWidth="1"/>
    <col min="11" max="11" width="8" style="1" customWidth="1"/>
    <col min="12" max="12" width="7.33203125" style="1" customWidth="1"/>
    <col min="13" max="13" width="6.83203125" style="1" customWidth="1"/>
    <col min="14" max="14" width="8.6640625" style="1" customWidth="1"/>
    <col min="15" max="15" width="9.33203125" style="1"/>
    <col min="16" max="16" width="8.5" style="1" customWidth="1"/>
    <col min="17" max="19" width="7.1640625" style="7" bestFit="1" customWidth="1"/>
    <col min="20" max="20" width="12.6640625" style="7" bestFit="1" customWidth="1"/>
    <col min="21" max="21" width="12" style="7" bestFit="1" customWidth="1"/>
    <col min="22" max="22" width="6.83203125" style="1" customWidth="1"/>
    <col min="23" max="23" width="10.83203125" style="1" customWidth="1"/>
    <col min="24" max="24" width="8.33203125" style="1" customWidth="1"/>
    <col min="25" max="16384" width="9.33203125" style="1"/>
  </cols>
  <sheetData>
    <row r="1" spans="1:25" s="2" customFormat="1" x14ac:dyDescent="0.25">
      <c r="A1" s="2" t="s">
        <v>15</v>
      </c>
      <c r="B1" s="3" t="s">
        <v>0</v>
      </c>
      <c r="C1" s="3" t="s">
        <v>1</v>
      </c>
      <c r="D1" s="3" t="s">
        <v>2</v>
      </c>
      <c r="E1" s="3" t="s">
        <v>3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2" t="s">
        <v>13</v>
      </c>
      <c r="P1" s="3" t="s">
        <v>125</v>
      </c>
      <c r="Q1" s="5" t="s">
        <v>134</v>
      </c>
      <c r="R1" s="5" t="s">
        <v>135</v>
      </c>
      <c r="S1" s="5" t="s">
        <v>136</v>
      </c>
      <c r="T1" s="5" t="s">
        <v>137</v>
      </c>
      <c r="U1" s="5" t="s">
        <v>138</v>
      </c>
      <c r="V1" s="3" t="s">
        <v>14</v>
      </c>
      <c r="W1" s="3" t="s">
        <v>128</v>
      </c>
      <c r="X1" s="8"/>
      <c r="Y1" s="8"/>
    </row>
    <row r="2" spans="1:25" s="2" customFormat="1" x14ac:dyDescent="0.25">
      <c r="A2" s="2" t="s">
        <v>31</v>
      </c>
      <c r="B2" s="3" t="s">
        <v>139</v>
      </c>
      <c r="C2" s="3" t="s">
        <v>17</v>
      </c>
      <c r="D2" s="3" t="s">
        <v>18</v>
      </c>
      <c r="E2" s="3">
        <v>2019</v>
      </c>
      <c r="F2" s="3">
        <v>1</v>
      </c>
      <c r="G2" s="3">
        <v>1</v>
      </c>
      <c r="H2" s="3">
        <v>21</v>
      </c>
      <c r="I2" s="2" t="s">
        <v>116</v>
      </c>
      <c r="J2" s="2">
        <v>25</v>
      </c>
      <c r="K2" s="2" t="s">
        <v>123</v>
      </c>
      <c r="L2" s="2">
        <v>1</v>
      </c>
      <c r="M2" s="2">
        <v>20</v>
      </c>
      <c r="N2" s="4">
        <v>1135.5999999999999</v>
      </c>
      <c r="O2" s="4">
        <v>16.2</v>
      </c>
      <c r="P2" s="2">
        <v>2</v>
      </c>
      <c r="Q2" s="6">
        <v>43.1</v>
      </c>
      <c r="R2" s="6">
        <v>23.43</v>
      </c>
      <c r="S2" s="6">
        <f>Q2+R2</f>
        <v>66.53</v>
      </c>
      <c r="T2" s="6">
        <f t="shared" ref="T2:U4" si="0">Q2*0.87</f>
        <v>37.497</v>
      </c>
      <c r="U2" s="6">
        <f t="shared" si="0"/>
        <v>20.3841</v>
      </c>
      <c r="V2" s="8" t="s">
        <v>119</v>
      </c>
      <c r="W2" s="8" t="s">
        <v>119</v>
      </c>
      <c r="X2" s="8"/>
      <c r="Y2" s="8"/>
    </row>
    <row r="3" spans="1:25" s="2" customFormat="1" x14ac:dyDescent="0.25">
      <c r="A3" s="2" t="s">
        <v>67</v>
      </c>
      <c r="B3" s="3" t="s">
        <v>139</v>
      </c>
      <c r="C3" s="3" t="s">
        <v>17</v>
      </c>
      <c r="D3" s="3" t="s">
        <v>18</v>
      </c>
      <c r="E3" s="3">
        <v>2019</v>
      </c>
      <c r="F3" s="3">
        <v>2</v>
      </c>
      <c r="G3" s="3">
        <v>1</v>
      </c>
      <c r="H3" s="3">
        <v>33</v>
      </c>
      <c r="I3" s="2" t="s">
        <v>116</v>
      </c>
      <c r="J3" s="2">
        <v>27</v>
      </c>
      <c r="K3" s="2" t="s">
        <v>123</v>
      </c>
      <c r="L3" s="2">
        <v>1</v>
      </c>
      <c r="M3" s="2">
        <v>19</v>
      </c>
      <c r="N3" s="4">
        <v>560.1</v>
      </c>
      <c r="O3" s="4">
        <v>14.5</v>
      </c>
      <c r="P3" s="2">
        <v>3.5</v>
      </c>
      <c r="Q3" s="6">
        <v>45.89</v>
      </c>
      <c r="R3" s="6">
        <v>22.22</v>
      </c>
      <c r="S3" s="6">
        <f>Q3+R3</f>
        <v>68.11</v>
      </c>
      <c r="T3" s="6">
        <f t="shared" si="0"/>
        <v>39.924300000000002</v>
      </c>
      <c r="U3" s="6">
        <f t="shared" si="0"/>
        <v>19.331399999999999</v>
      </c>
      <c r="V3" s="8" t="s">
        <v>119</v>
      </c>
      <c r="W3" s="2" t="s">
        <v>126</v>
      </c>
      <c r="X3" s="8"/>
      <c r="Y3" s="8"/>
    </row>
    <row r="4" spans="1:25" s="2" customFormat="1" x14ac:dyDescent="0.25">
      <c r="A4" s="2" t="s">
        <v>53</v>
      </c>
      <c r="B4" s="3" t="s">
        <v>139</v>
      </c>
      <c r="C4" s="3" t="s">
        <v>17</v>
      </c>
      <c r="D4" s="3" t="s">
        <v>18</v>
      </c>
      <c r="E4" s="3">
        <v>2019</v>
      </c>
      <c r="F4" s="3">
        <v>3</v>
      </c>
      <c r="G4" s="3">
        <v>1</v>
      </c>
      <c r="H4" s="3">
        <v>58</v>
      </c>
      <c r="I4" s="2" t="s">
        <v>116</v>
      </c>
      <c r="J4" s="2">
        <v>26</v>
      </c>
      <c r="K4" s="2" t="s">
        <v>123</v>
      </c>
      <c r="L4" s="8" t="s">
        <v>119</v>
      </c>
      <c r="M4" s="8" t="s">
        <v>119</v>
      </c>
      <c r="N4" s="4">
        <v>1122</v>
      </c>
      <c r="O4" s="4">
        <v>15.4</v>
      </c>
      <c r="P4" s="2">
        <v>2.5</v>
      </c>
      <c r="Q4" s="6">
        <v>44.65</v>
      </c>
      <c r="R4" s="6">
        <v>23.14</v>
      </c>
      <c r="S4" s="6">
        <f>Q4+R4</f>
        <v>67.789999999999992</v>
      </c>
      <c r="T4" s="6">
        <f t="shared" si="0"/>
        <v>38.845500000000001</v>
      </c>
      <c r="U4" s="6">
        <f t="shared" si="0"/>
        <v>20.131800000000002</v>
      </c>
      <c r="V4" s="8" t="s">
        <v>119</v>
      </c>
      <c r="W4" s="8" t="s">
        <v>119</v>
      </c>
      <c r="X4" s="8"/>
      <c r="Y4" s="8"/>
    </row>
    <row r="5" spans="1:25" s="2" customFormat="1" x14ac:dyDescent="0.25">
      <c r="A5" s="2" t="s">
        <v>35</v>
      </c>
      <c r="B5" s="3" t="s">
        <v>139</v>
      </c>
      <c r="C5" s="3" t="s">
        <v>17</v>
      </c>
      <c r="D5" s="3" t="s">
        <v>18</v>
      </c>
      <c r="E5" s="3">
        <v>2019</v>
      </c>
      <c r="F5" s="3">
        <v>4</v>
      </c>
      <c r="G5" s="3">
        <v>1</v>
      </c>
      <c r="H5" s="3">
        <v>80</v>
      </c>
      <c r="I5" s="2" t="s">
        <v>116</v>
      </c>
      <c r="J5" s="8" t="s">
        <v>119</v>
      </c>
      <c r="K5" s="2" t="s">
        <v>123</v>
      </c>
      <c r="L5" s="8" t="s">
        <v>119</v>
      </c>
      <c r="M5" s="8" t="s">
        <v>119</v>
      </c>
      <c r="N5" s="4">
        <v>1161.5</v>
      </c>
      <c r="O5" s="4">
        <v>15.9</v>
      </c>
      <c r="P5" s="2">
        <v>2</v>
      </c>
      <c r="Q5" s="8" t="s">
        <v>119</v>
      </c>
      <c r="R5" s="8" t="s">
        <v>119</v>
      </c>
      <c r="S5" s="8" t="s">
        <v>119</v>
      </c>
      <c r="T5" s="8" t="s">
        <v>119</v>
      </c>
      <c r="U5" s="8" t="s">
        <v>119</v>
      </c>
      <c r="V5" s="8" t="s">
        <v>119</v>
      </c>
      <c r="W5" s="8" t="s">
        <v>119</v>
      </c>
      <c r="X5" s="8"/>
      <c r="Y5" s="8"/>
    </row>
    <row r="6" spans="1:25" s="2" customFormat="1" x14ac:dyDescent="0.25">
      <c r="A6" s="2" t="s">
        <v>55</v>
      </c>
      <c r="B6" s="3" t="s">
        <v>140</v>
      </c>
      <c r="C6" s="3" t="s">
        <v>17</v>
      </c>
      <c r="D6" s="3" t="s">
        <v>18</v>
      </c>
      <c r="E6" s="3">
        <v>2019</v>
      </c>
      <c r="F6" s="3">
        <v>1</v>
      </c>
      <c r="G6" s="3">
        <v>2</v>
      </c>
      <c r="H6" s="3">
        <v>13</v>
      </c>
      <c r="I6" s="2" t="s">
        <v>116</v>
      </c>
      <c r="J6" s="2">
        <v>27</v>
      </c>
      <c r="K6" s="2" t="s">
        <v>123</v>
      </c>
      <c r="L6" s="2">
        <v>1.5</v>
      </c>
      <c r="M6" s="2">
        <v>20</v>
      </c>
      <c r="N6" s="4">
        <v>989.6</v>
      </c>
      <c r="O6" s="4">
        <v>15.8</v>
      </c>
      <c r="P6" s="2">
        <v>2.5</v>
      </c>
      <c r="Q6" s="6">
        <v>41.91</v>
      </c>
      <c r="R6" s="6">
        <v>23.25</v>
      </c>
      <c r="S6" s="6">
        <f>Q6+R6</f>
        <v>65.16</v>
      </c>
      <c r="T6" s="6">
        <f t="shared" ref="T6:U8" si="1">Q6*0.87</f>
        <v>36.461699999999993</v>
      </c>
      <c r="U6" s="6">
        <f t="shared" si="1"/>
        <v>20.227499999999999</v>
      </c>
      <c r="V6" s="8" t="s">
        <v>119</v>
      </c>
      <c r="W6" s="8" t="s">
        <v>119</v>
      </c>
      <c r="X6" s="8"/>
      <c r="Y6" s="8"/>
    </row>
    <row r="7" spans="1:25" s="2" customFormat="1" x14ac:dyDescent="0.25">
      <c r="A7" s="2" t="s">
        <v>99</v>
      </c>
      <c r="B7" s="3" t="s">
        <v>140</v>
      </c>
      <c r="C7" s="3" t="s">
        <v>17</v>
      </c>
      <c r="D7" s="3" t="s">
        <v>18</v>
      </c>
      <c r="E7" s="3">
        <v>2019</v>
      </c>
      <c r="F7" s="3">
        <v>2</v>
      </c>
      <c r="G7" s="3">
        <v>2</v>
      </c>
      <c r="H7" s="3">
        <v>36</v>
      </c>
      <c r="I7" s="2" t="s">
        <v>116</v>
      </c>
      <c r="J7" s="2">
        <v>25</v>
      </c>
      <c r="K7" s="2" t="s">
        <v>123</v>
      </c>
      <c r="L7" s="2">
        <v>1</v>
      </c>
      <c r="M7" s="2">
        <v>19</v>
      </c>
      <c r="N7" s="4">
        <v>772.9</v>
      </c>
      <c r="O7" s="4">
        <v>14.4</v>
      </c>
      <c r="P7" s="2">
        <v>2</v>
      </c>
      <c r="Q7" s="6">
        <v>42.1</v>
      </c>
      <c r="R7" s="6">
        <v>23.35</v>
      </c>
      <c r="S7" s="6">
        <f>Q7+R7</f>
        <v>65.45</v>
      </c>
      <c r="T7" s="6">
        <f t="shared" si="1"/>
        <v>36.627000000000002</v>
      </c>
      <c r="U7" s="6">
        <f t="shared" si="1"/>
        <v>20.314500000000002</v>
      </c>
      <c r="V7" s="8" t="s">
        <v>119</v>
      </c>
      <c r="W7" s="8" t="s">
        <v>119</v>
      </c>
      <c r="X7" s="8"/>
      <c r="Y7" s="8"/>
    </row>
    <row r="8" spans="1:25" s="2" customFormat="1" x14ac:dyDescent="0.25">
      <c r="A8" s="2" t="s">
        <v>94</v>
      </c>
      <c r="B8" s="3" t="s">
        <v>140</v>
      </c>
      <c r="C8" s="3" t="s">
        <v>17</v>
      </c>
      <c r="D8" s="3" t="s">
        <v>18</v>
      </c>
      <c r="E8" s="3">
        <v>2019</v>
      </c>
      <c r="F8" s="3">
        <v>3</v>
      </c>
      <c r="G8" s="3">
        <v>2</v>
      </c>
      <c r="H8" s="3">
        <v>67</v>
      </c>
      <c r="I8" s="2" t="s">
        <v>116</v>
      </c>
      <c r="J8" s="2">
        <v>26</v>
      </c>
      <c r="K8" s="2" t="s">
        <v>123</v>
      </c>
      <c r="L8" s="8" t="s">
        <v>119</v>
      </c>
      <c r="M8" s="8" t="s">
        <v>119</v>
      </c>
      <c r="N8" s="4">
        <v>1274.7</v>
      </c>
      <c r="O8" s="4">
        <v>14.6</v>
      </c>
      <c r="P8" s="2">
        <v>1.5</v>
      </c>
      <c r="Q8" s="6">
        <v>41.04</v>
      </c>
      <c r="R8" s="6">
        <v>24.04</v>
      </c>
      <c r="S8" s="6">
        <f>Q8+R8</f>
        <v>65.08</v>
      </c>
      <c r="T8" s="6">
        <f t="shared" si="1"/>
        <v>35.704799999999999</v>
      </c>
      <c r="U8" s="6">
        <f t="shared" si="1"/>
        <v>20.9148</v>
      </c>
      <c r="V8" s="8" t="s">
        <v>119</v>
      </c>
      <c r="W8" s="8" t="s">
        <v>119</v>
      </c>
      <c r="X8" s="8"/>
      <c r="Y8" s="8"/>
    </row>
    <row r="9" spans="1:25" s="2" customFormat="1" x14ac:dyDescent="0.25">
      <c r="A9" s="2" t="s">
        <v>39</v>
      </c>
      <c r="B9" s="3" t="s">
        <v>140</v>
      </c>
      <c r="C9" s="3" t="s">
        <v>17</v>
      </c>
      <c r="D9" s="3" t="s">
        <v>18</v>
      </c>
      <c r="E9" s="3">
        <v>2019</v>
      </c>
      <c r="F9" s="3">
        <v>4</v>
      </c>
      <c r="G9" s="3">
        <v>2</v>
      </c>
      <c r="H9" s="3">
        <v>81</v>
      </c>
      <c r="I9" s="2" t="s">
        <v>116</v>
      </c>
      <c r="J9" s="8" t="s">
        <v>119</v>
      </c>
      <c r="K9" s="2" t="s">
        <v>123</v>
      </c>
      <c r="L9" s="8" t="s">
        <v>119</v>
      </c>
      <c r="M9" s="8" t="s">
        <v>119</v>
      </c>
      <c r="N9" s="4">
        <v>1287.7</v>
      </c>
      <c r="O9" s="4">
        <v>15.8</v>
      </c>
      <c r="P9" s="2">
        <v>1.5</v>
      </c>
      <c r="Q9" s="8" t="s">
        <v>119</v>
      </c>
      <c r="R9" s="8" t="s">
        <v>119</v>
      </c>
      <c r="S9" s="8" t="s">
        <v>119</v>
      </c>
      <c r="T9" s="8" t="s">
        <v>119</v>
      </c>
      <c r="U9" s="8" t="s">
        <v>119</v>
      </c>
      <c r="V9" s="8" t="s">
        <v>119</v>
      </c>
      <c r="W9" s="8" t="s">
        <v>119</v>
      </c>
      <c r="X9" s="8"/>
      <c r="Y9" s="8"/>
    </row>
    <row r="10" spans="1:25" s="2" customFormat="1" x14ac:dyDescent="0.25">
      <c r="A10" s="2" t="s">
        <v>71</v>
      </c>
      <c r="B10" s="3" t="s">
        <v>141</v>
      </c>
      <c r="C10" s="3" t="s">
        <v>17</v>
      </c>
      <c r="D10" s="3" t="s">
        <v>18</v>
      </c>
      <c r="E10" s="3">
        <v>2019</v>
      </c>
      <c r="F10" s="3">
        <v>1</v>
      </c>
      <c r="G10" s="3">
        <v>3</v>
      </c>
      <c r="H10" s="3">
        <v>9</v>
      </c>
      <c r="I10" s="2" t="s">
        <v>116</v>
      </c>
      <c r="J10" s="2">
        <v>30</v>
      </c>
      <c r="K10" s="2" t="s">
        <v>122</v>
      </c>
      <c r="L10" s="2">
        <v>3</v>
      </c>
      <c r="M10" s="2">
        <v>41</v>
      </c>
      <c r="N10" s="4">
        <v>827.2</v>
      </c>
      <c r="O10" s="4">
        <v>15.4</v>
      </c>
      <c r="P10" s="2">
        <v>4.5</v>
      </c>
      <c r="Q10" s="6">
        <v>44.16</v>
      </c>
      <c r="R10" s="6">
        <v>21.51</v>
      </c>
      <c r="S10" s="6">
        <f>Q10+R10</f>
        <v>65.67</v>
      </c>
      <c r="T10" s="6">
        <f t="shared" ref="T10:U12" si="2">Q10*0.87</f>
        <v>38.419199999999996</v>
      </c>
      <c r="U10" s="6">
        <f t="shared" si="2"/>
        <v>18.713700000000003</v>
      </c>
      <c r="V10" s="8" t="s">
        <v>119</v>
      </c>
      <c r="W10" s="2" t="s">
        <v>126</v>
      </c>
      <c r="X10" s="8"/>
      <c r="Y10" s="8"/>
    </row>
    <row r="11" spans="1:25" s="2" customFormat="1" x14ac:dyDescent="0.25">
      <c r="A11" s="2" t="s">
        <v>78</v>
      </c>
      <c r="B11" s="3" t="s">
        <v>141</v>
      </c>
      <c r="C11" s="3" t="s">
        <v>17</v>
      </c>
      <c r="D11" s="3" t="s">
        <v>18</v>
      </c>
      <c r="E11" s="3">
        <v>2019</v>
      </c>
      <c r="F11" s="3">
        <v>2</v>
      </c>
      <c r="G11" s="3">
        <v>3</v>
      </c>
      <c r="H11" s="3">
        <v>47</v>
      </c>
      <c r="I11" s="2" t="s">
        <v>116</v>
      </c>
      <c r="J11" s="2">
        <v>28</v>
      </c>
      <c r="K11" s="2" t="s">
        <v>122</v>
      </c>
      <c r="L11" s="2">
        <v>2.5</v>
      </c>
      <c r="M11" s="2">
        <v>44</v>
      </c>
      <c r="N11" s="4">
        <v>932.2</v>
      </c>
      <c r="O11" s="4">
        <v>14.4</v>
      </c>
      <c r="P11" s="2">
        <v>4</v>
      </c>
      <c r="Q11" s="6">
        <v>43.6</v>
      </c>
      <c r="R11" s="6">
        <v>22.22</v>
      </c>
      <c r="S11" s="6">
        <f>Q11+R11</f>
        <v>65.819999999999993</v>
      </c>
      <c r="T11" s="6">
        <f t="shared" si="2"/>
        <v>37.932000000000002</v>
      </c>
      <c r="U11" s="6">
        <f t="shared" si="2"/>
        <v>19.331399999999999</v>
      </c>
      <c r="V11" s="8" t="s">
        <v>119</v>
      </c>
      <c r="W11" s="2" t="s">
        <v>126</v>
      </c>
      <c r="X11" s="8"/>
      <c r="Y11" s="8"/>
    </row>
    <row r="12" spans="1:25" s="2" customFormat="1" x14ac:dyDescent="0.25">
      <c r="A12" s="2" t="s">
        <v>109</v>
      </c>
      <c r="B12" s="3" t="s">
        <v>141</v>
      </c>
      <c r="C12" s="3" t="s">
        <v>17</v>
      </c>
      <c r="D12" s="3" t="s">
        <v>18</v>
      </c>
      <c r="E12" s="3">
        <v>2019</v>
      </c>
      <c r="F12" s="3">
        <v>3</v>
      </c>
      <c r="G12" s="3">
        <v>3</v>
      </c>
      <c r="H12" s="3">
        <v>56</v>
      </c>
      <c r="I12" s="2" t="s">
        <v>116</v>
      </c>
      <c r="J12" s="2">
        <v>26</v>
      </c>
      <c r="K12" s="2" t="s">
        <v>122</v>
      </c>
      <c r="L12" s="8" t="s">
        <v>119</v>
      </c>
      <c r="M12" s="8" t="s">
        <v>119</v>
      </c>
      <c r="N12" s="4">
        <v>1026.7</v>
      </c>
      <c r="O12" s="4">
        <v>14.9</v>
      </c>
      <c r="P12" s="2">
        <v>3</v>
      </c>
      <c r="Q12" s="6">
        <v>41.64</v>
      </c>
      <c r="R12" s="6">
        <v>23.86</v>
      </c>
      <c r="S12" s="6">
        <f>Q12+R12</f>
        <v>65.5</v>
      </c>
      <c r="T12" s="6">
        <f t="shared" si="2"/>
        <v>36.226799999999997</v>
      </c>
      <c r="U12" s="6">
        <f t="shared" si="2"/>
        <v>20.758199999999999</v>
      </c>
      <c r="V12" s="8" t="s">
        <v>119</v>
      </c>
      <c r="W12" s="2" t="s">
        <v>126</v>
      </c>
      <c r="X12" s="8"/>
      <c r="Y12" s="8"/>
    </row>
    <row r="13" spans="1:25" s="2" customFormat="1" x14ac:dyDescent="0.25">
      <c r="A13" s="2" t="s">
        <v>20</v>
      </c>
      <c r="B13" s="3" t="s">
        <v>141</v>
      </c>
      <c r="C13" s="3" t="s">
        <v>17</v>
      </c>
      <c r="D13" s="3" t="s">
        <v>18</v>
      </c>
      <c r="E13" s="3">
        <v>2019</v>
      </c>
      <c r="F13" s="3">
        <v>4</v>
      </c>
      <c r="G13" s="3">
        <v>3</v>
      </c>
      <c r="H13" s="3">
        <v>99</v>
      </c>
      <c r="I13" s="2" t="s">
        <v>116</v>
      </c>
      <c r="J13" s="8" t="s">
        <v>119</v>
      </c>
      <c r="K13" s="2" t="s">
        <v>122</v>
      </c>
      <c r="L13" s="8" t="s">
        <v>119</v>
      </c>
      <c r="M13" s="8" t="s">
        <v>119</v>
      </c>
      <c r="N13" s="4">
        <v>974.7</v>
      </c>
      <c r="O13" s="4">
        <v>16</v>
      </c>
      <c r="P13" s="2">
        <v>3</v>
      </c>
      <c r="Q13" s="8" t="s">
        <v>119</v>
      </c>
      <c r="R13" s="8" t="s">
        <v>119</v>
      </c>
      <c r="S13" s="8" t="s">
        <v>119</v>
      </c>
      <c r="T13" s="8" t="s">
        <v>119</v>
      </c>
      <c r="U13" s="8" t="s">
        <v>119</v>
      </c>
      <c r="V13" s="8" t="s">
        <v>119</v>
      </c>
      <c r="W13" s="2" t="s">
        <v>126</v>
      </c>
      <c r="X13" s="8"/>
      <c r="Y13" s="8"/>
    </row>
    <row r="14" spans="1:25" s="2" customFormat="1" x14ac:dyDescent="0.25">
      <c r="A14" s="2" t="s">
        <v>85</v>
      </c>
      <c r="B14" s="3" t="s">
        <v>142</v>
      </c>
      <c r="C14" s="3" t="s">
        <v>17</v>
      </c>
      <c r="D14" s="3" t="s">
        <v>18</v>
      </c>
      <c r="E14" s="3">
        <v>2019</v>
      </c>
      <c r="F14" s="3">
        <v>1</v>
      </c>
      <c r="G14" s="3">
        <v>4</v>
      </c>
      <c r="H14" s="3">
        <v>15</v>
      </c>
      <c r="I14" s="2" t="s">
        <v>116</v>
      </c>
      <c r="J14" s="2">
        <v>20</v>
      </c>
      <c r="K14" s="2" t="s">
        <v>123</v>
      </c>
      <c r="L14" s="2">
        <v>1.5</v>
      </c>
      <c r="M14" s="2">
        <v>19</v>
      </c>
      <c r="N14" s="4">
        <v>983.1</v>
      </c>
      <c r="O14" s="4">
        <v>12.3</v>
      </c>
      <c r="P14" s="2">
        <v>2</v>
      </c>
      <c r="Q14" s="6">
        <v>41.2</v>
      </c>
      <c r="R14" s="6">
        <v>23.7</v>
      </c>
      <c r="S14" s="6">
        <f>Q14+R14</f>
        <v>64.900000000000006</v>
      </c>
      <c r="T14" s="6">
        <f t="shared" ref="T14:U16" si="3">Q14*0.87</f>
        <v>35.844000000000001</v>
      </c>
      <c r="U14" s="6">
        <f t="shared" si="3"/>
        <v>20.619</v>
      </c>
      <c r="V14" s="8" t="s">
        <v>119</v>
      </c>
      <c r="W14" s="8" t="s">
        <v>119</v>
      </c>
      <c r="X14" s="8"/>
      <c r="Y14" s="8"/>
    </row>
    <row r="15" spans="1:25" s="2" customFormat="1" x14ac:dyDescent="0.25">
      <c r="A15" s="2" t="s">
        <v>96</v>
      </c>
      <c r="B15" s="3" t="s">
        <v>142</v>
      </c>
      <c r="C15" s="3" t="s">
        <v>17</v>
      </c>
      <c r="D15" s="3" t="s">
        <v>18</v>
      </c>
      <c r="E15" s="3">
        <v>2019</v>
      </c>
      <c r="F15" s="3">
        <v>2</v>
      </c>
      <c r="G15" s="3">
        <v>4</v>
      </c>
      <c r="H15" s="3">
        <v>35</v>
      </c>
      <c r="I15" s="2" t="s">
        <v>116</v>
      </c>
      <c r="J15" s="2">
        <v>22</v>
      </c>
      <c r="K15" s="2" t="s">
        <v>123</v>
      </c>
      <c r="L15" s="2">
        <v>1</v>
      </c>
      <c r="M15" s="2">
        <v>22</v>
      </c>
      <c r="N15" s="4">
        <v>798.1</v>
      </c>
      <c r="O15" s="4">
        <v>11.7</v>
      </c>
      <c r="P15" s="2">
        <v>2</v>
      </c>
      <c r="Q15" s="6">
        <v>42.07</v>
      </c>
      <c r="R15" s="6">
        <v>23.86</v>
      </c>
      <c r="S15" s="6">
        <f>Q15+R15</f>
        <v>65.930000000000007</v>
      </c>
      <c r="T15" s="6">
        <f t="shared" si="3"/>
        <v>36.600900000000003</v>
      </c>
      <c r="U15" s="6">
        <f t="shared" si="3"/>
        <v>20.758199999999999</v>
      </c>
      <c r="V15" s="8" t="s">
        <v>119</v>
      </c>
      <c r="W15" s="8" t="s">
        <v>119</v>
      </c>
      <c r="X15" s="8"/>
      <c r="Y15" s="8"/>
    </row>
    <row r="16" spans="1:25" s="2" customFormat="1" x14ac:dyDescent="0.25">
      <c r="A16" s="2" t="s">
        <v>46</v>
      </c>
      <c r="B16" s="3" t="s">
        <v>142</v>
      </c>
      <c r="C16" s="3" t="s">
        <v>17</v>
      </c>
      <c r="D16" s="3" t="s">
        <v>18</v>
      </c>
      <c r="E16" s="3">
        <v>2019</v>
      </c>
      <c r="F16" s="3">
        <v>3</v>
      </c>
      <c r="G16" s="3">
        <v>4</v>
      </c>
      <c r="H16" s="3">
        <v>59</v>
      </c>
      <c r="I16" s="2" t="s">
        <v>116</v>
      </c>
      <c r="J16" s="2">
        <v>25</v>
      </c>
      <c r="K16" s="2" t="s">
        <v>123</v>
      </c>
      <c r="L16" s="8" t="s">
        <v>119</v>
      </c>
      <c r="M16" s="8" t="s">
        <v>119</v>
      </c>
      <c r="N16" s="4">
        <v>1291.4000000000001</v>
      </c>
      <c r="O16" s="4">
        <v>15.6</v>
      </c>
      <c r="P16" s="2">
        <v>2.5</v>
      </c>
      <c r="Q16" s="6">
        <v>42.08</v>
      </c>
      <c r="R16" s="6">
        <v>23.62</v>
      </c>
      <c r="S16" s="6">
        <f>Q16+R16</f>
        <v>65.7</v>
      </c>
      <c r="T16" s="6">
        <f t="shared" si="3"/>
        <v>36.6096</v>
      </c>
      <c r="U16" s="6">
        <f t="shared" si="3"/>
        <v>20.549400000000002</v>
      </c>
      <c r="V16" s="8" t="s">
        <v>119</v>
      </c>
      <c r="W16" s="8" t="s">
        <v>119</v>
      </c>
      <c r="X16" s="8"/>
      <c r="Y16" s="8"/>
    </row>
    <row r="17" spans="1:25" s="2" customFormat="1" x14ac:dyDescent="0.25">
      <c r="A17" s="2" t="s">
        <v>47</v>
      </c>
      <c r="B17" s="3" t="s">
        <v>142</v>
      </c>
      <c r="C17" s="3" t="s">
        <v>17</v>
      </c>
      <c r="D17" s="3" t="s">
        <v>18</v>
      </c>
      <c r="E17" s="3">
        <v>2019</v>
      </c>
      <c r="F17" s="3">
        <v>4</v>
      </c>
      <c r="G17" s="3">
        <v>4</v>
      </c>
      <c r="H17" s="3">
        <v>100</v>
      </c>
      <c r="I17" s="2" t="s">
        <v>116</v>
      </c>
      <c r="J17" s="8" t="s">
        <v>119</v>
      </c>
      <c r="K17" s="2" t="s">
        <v>123</v>
      </c>
      <c r="L17" s="8" t="s">
        <v>119</v>
      </c>
      <c r="M17" s="8" t="s">
        <v>119</v>
      </c>
      <c r="N17" s="4">
        <v>1721.4</v>
      </c>
      <c r="O17" s="4">
        <v>14.6</v>
      </c>
      <c r="P17" s="2">
        <v>2.5</v>
      </c>
      <c r="Q17" s="8" t="s">
        <v>119</v>
      </c>
      <c r="R17" s="8" t="s">
        <v>119</v>
      </c>
      <c r="S17" s="8" t="s">
        <v>119</v>
      </c>
      <c r="T17" s="8" t="s">
        <v>119</v>
      </c>
      <c r="U17" s="8" t="s">
        <v>119</v>
      </c>
      <c r="V17" s="8" t="s">
        <v>119</v>
      </c>
      <c r="W17" s="8" t="s">
        <v>119</v>
      </c>
      <c r="X17" s="8"/>
      <c r="Y17" s="8"/>
    </row>
    <row r="18" spans="1:25" s="2" customFormat="1" x14ac:dyDescent="0.25">
      <c r="A18" s="2" t="s">
        <v>61</v>
      </c>
      <c r="B18" s="3" t="s">
        <v>143</v>
      </c>
      <c r="C18" s="3" t="s">
        <v>17</v>
      </c>
      <c r="D18" s="3" t="s">
        <v>18</v>
      </c>
      <c r="E18" s="3">
        <v>2019</v>
      </c>
      <c r="F18" s="3">
        <v>1</v>
      </c>
      <c r="G18" s="3">
        <v>5</v>
      </c>
      <c r="H18" s="3">
        <v>23</v>
      </c>
      <c r="I18" s="2" t="s">
        <v>116</v>
      </c>
      <c r="J18" s="2">
        <v>34</v>
      </c>
      <c r="K18" s="2" t="s">
        <v>123</v>
      </c>
      <c r="L18" s="2">
        <v>1</v>
      </c>
      <c r="M18" s="2">
        <v>19</v>
      </c>
      <c r="N18" s="4">
        <v>443.9</v>
      </c>
      <c r="O18" s="4">
        <v>20.5</v>
      </c>
      <c r="P18" s="2">
        <v>3</v>
      </c>
      <c r="Q18" s="6">
        <v>45.46</v>
      </c>
      <c r="R18" s="6">
        <v>22.39</v>
      </c>
      <c r="S18" s="6">
        <f>Q18+R18</f>
        <v>67.849999999999994</v>
      </c>
      <c r="T18" s="6">
        <f t="shared" ref="T18:U20" si="4">Q18*0.87</f>
        <v>39.550200000000004</v>
      </c>
      <c r="U18" s="6">
        <f t="shared" si="4"/>
        <v>19.479300000000002</v>
      </c>
      <c r="V18" s="8" t="s">
        <v>119</v>
      </c>
      <c r="W18" s="8" t="s">
        <v>119</v>
      </c>
      <c r="X18" s="8"/>
      <c r="Y18" s="8"/>
    </row>
    <row r="19" spans="1:25" s="2" customFormat="1" x14ac:dyDescent="0.25">
      <c r="A19" s="2" t="s">
        <v>44</v>
      </c>
      <c r="B19" s="3" t="s">
        <v>143</v>
      </c>
      <c r="C19" s="3" t="s">
        <v>17</v>
      </c>
      <c r="D19" s="3" t="s">
        <v>18</v>
      </c>
      <c r="E19" s="3">
        <v>2019</v>
      </c>
      <c r="F19" s="3">
        <v>2</v>
      </c>
      <c r="G19" s="3">
        <v>5</v>
      </c>
      <c r="H19" s="3">
        <v>41</v>
      </c>
      <c r="I19" s="2" t="s">
        <v>116</v>
      </c>
      <c r="J19" s="2">
        <v>27</v>
      </c>
      <c r="K19" s="2" t="s">
        <v>123</v>
      </c>
      <c r="L19" s="2">
        <v>1.5</v>
      </c>
      <c r="M19" s="2">
        <v>21</v>
      </c>
      <c r="N19" s="4">
        <v>1147.3</v>
      </c>
      <c r="O19" s="4">
        <v>19.7</v>
      </c>
      <c r="P19" s="2">
        <v>2</v>
      </c>
      <c r="Q19" s="6">
        <v>41.62</v>
      </c>
      <c r="R19" s="6">
        <v>23.99</v>
      </c>
      <c r="S19" s="6">
        <f>Q19+R19</f>
        <v>65.61</v>
      </c>
      <c r="T19" s="6">
        <f t="shared" si="4"/>
        <v>36.209399999999995</v>
      </c>
      <c r="U19" s="6">
        <f t="shared" si="4"/>
        <v>20.871299999999998</v>
      </c>
      <c r="V19" s="8" t="s">
        <v>119</v>
      </c>
      <c r="W19" s="8" t="s">
        <v>119</v>
      </c>
      <c r="X19" s="8"/>
      <c r="Y19" s="8"/>
    </row>
    <row r="20" spans="1:25" s="2" customFormat="1" x14ac:dyDescent="0.25">
      <c r="A20" s="2" t="s">
        <v>107</v>
      </c>
      <c r="B20" s="3" t="s">
        <v>143</v>
      </c>
      <c r="C20" s="3" t="s">
        <v>17</v>
      </c>
      <c r="D20" s="3" t="s">
        <v>18</v>
      </c>
      <c r="E20" s="3">
        <v>2019</v>
      </c>
      <c r="F20" s="3">
        <v>3</v>
      </c>
      <c r="G20" s="3">
        <v>5</v>
      </c>
      <c r="H20" s="3">
        <v>75</v>
      </c>
      <c r="I20" s="2" t="s">
        <v>116</v>
      </c>
      <c r="J20" s="2">
        <v>28</v>
      </c>
      <c r="K20" s="2" t="s">
        <v>123</v>
      </c>
      <c r="L20" s="8" t="s">
        <v>119</v>
      </c>
      <c r="M20" s="8" t="s">
        <v>119</v>
      </c>
      <c r="N20" s="4">
        <v>1495</v>
      </c>
      <c r="O20" s="4">
        <v>19.8</v>
      </c>
      <c r="P20" s="2">
        <v>2</v>
      </c>
      <c r="Q20" s="6">
        <v>42.12</v>
      </c>
      <c r="R20" s="6">
        <v>23.75</v>
      </c>
      <c r="S20" s="6">
        <f>Q20+R20</f>
        <v>65.87</v>
      </c>
      <c r="T20" s="6">
        <f t="shared" si="4"/>
        <v>36.644399999999997</v>
      </c>
      <c r="U20" s="6">
        <f t="shared" si="4"/>
        <v>20.662500000000001</v>
      </c>
      <c r="V20" s="8" t="s">
        <v>119</v>
      </c>
      <c r="W20" s="8" t="s">
        <v>119</v>
      </c>
      <c r="X20" s="8"/>
      <c r="Y20" s="8"/>
    </row>
    <row r="21" spans="1:25" s="2" customFormat="1" x14ac:dyDescent="0.25">
      <c r="A21" s="2" t="s">
        <v>65</v>
      </c>
      <c r="B21" s="3" t="s">
        <v>143</v>
      </c>
      <c r="C21" s="3" t="s">
        <v>17</v>
      </c>
      <c r="D21" s="3" t="s">
        <v>18</v>
      </c>
      <c r="E21" s="3">
        <v>2019</v>
      </c>
      <c r="F21" s="3">
        <v>4</v>
      </c>
      <c r="G21" s="3">
        <v>5</v>
      </c>
      <c r="H21" s="3">
        <v>78</v>
      </c>
      <c r="I21" s="2" t="s">
        <v>116</v>
      </c>
      <c r="J21" s="8" t="s">
        <v>119</v>
      </c>
      <c r="K21" s="2" t="s">
        <v>123</v>
      </c>
      <c r="L21" s="8" t="s">
        <v>119</v>
      </c>
      <c r="M21" s="8" t="s">
        <v>119</v>
      </c>
      <c r="N21" s="4">
        <v>951</v>
      </c>
      <c r="O21" s="4">
        <v>19.100000000000001</v>
      </c>
      <c r="P21" s="2">
        <v>2.5</v>
      </c>
      <c r="Q21" s="8" t="s">
        <v>119</v>
      </c>
      <c r="R21" s="8" t="s">
        <v>119</v>
      </c>
      <c r="S21" s="8" t="s">
        <v>119</v>
      </c>
      <c r="T21" s="8" t="s">
        <v>119</v>
      </c>
      <c r="U21" s="8" t="s">
        <v>119</v>
      </c>
      <c r="V21" s="8" t="s">
        <v>119</v>
      </c>
      <c r="W21" s="8" t="s">
        <v>119</v>
      </c>
      <c r="X21" s="8"/>
      <c r="Y21" s="8"/>
    </row>
    <row r="22" spans="1:25" s="2" customFormat="1" x14ac:dyDescent="0.25">
      <c r="A22" s="2" t="s">
        <v>101</v>
      </c>
      <c r="B22" s="3" t="s">
        <v>144</v>
      </c>
      <c r="C22" s="3" t="s">
        <v>17</v>
      </c>
      <c r="D22" s="3" t="s">
        <v>18</v>
      </c>
      <c r="E22" s="3">
        <v>2019</v>
      </c>
      <c r="F22" s="3">
        <v>1</v>
      </c>
      <c r="G22" s="3">
        <v>6</v>
      </c>
      <c r="H22" s="3">
        <v>7</v>
      </c>
      <c r="I22" s="2" t="s">
        <v>116</v>
      </c>
      <c r="J22" s="2">
        <v>24</v>
      </c>
      <c r="K22" s="2" t="s">
        <v>123</v>
      </c>
      <c r="L22" s="2">
        <v>1</v>
      </c>
      <c r="M22" s="2">
        <v>22</v>
      </c>
      <c r="N22" s="4">
        <v>810.5</v>
      </c>
      <c r="O22" s="4">
        <v>15.5</v>
      </c>
      <c r="P22" s="2">
        <v>2.5</v>
      </c>
      <c r="Q22" s="6">
        <v>43.08</v>
      </c>
      <c r="R22" s="6">
        <v>21.78</v>
      </c>
      <c r="S22" s="6">
        <f>Q22+R22</f>
        <v>64.86</v>
      </c>
      <c r="T22" s="6">
        <f t="shared" ref="T22:U24" si="5">Q22*0.87</f>
        <v>37.479599999999998</v>
      </c>
      <c r="U22" s="6">
        <f t="shared" si="5"/>
        <v>18.948600000000003</v>
      </c>
      <c r="V22" s="8" t="s">
        <v>119</v>
      </c>
      <c r="W22" s="8" t="s">
        <v>119</v>
      </c>
      <c r="X22" s="8"/>
      <c r="Y22" s="8"/>
    </row>
    <row r="23" spans="1:25" s="2" customFormat="1" x14ac:dyDescent="0.25">
      <c r="A23" s="2" t="s">
        <v>69</v>
      </c>
      <c r="B23" s="3" t="s">
        <v>144</v>
      </c>
      <c r="C23" s="3" t="s">
        <v>17</v>
      </c>
      <c r="D23" s="3" t="s">
        <v>18</v>
      </c>
      <c r="E23" s="3">
        <v>2019</v>
      </c>
      <c r="F23" s="3">
        <v>2</v>
      </c>
      <c r="G23" s="3">
        <v>6</v>
      </c>
      <c r="H23" s="3">
        <v>38</v>
      </c>
      <c r="I23" s="2" t="s">
        <v>116</v>
      </c>
      <c r="J23" s="2">
        <v>30</v>
      </c>
      <c r="K23" s="2" t="s">
        <v>123</v>
      </c>
      <c r="L23" s="2">
        <v>1</v>
      </c>
      <c r="M23" s="2">
        <v>18</v>
      </c>
      <c r="N23" s="4">
        <v>427</v>
      </c>
      <c r="O23" s="4">
        <v>18.899999999999999</v>
      </c>
      <c r="P23" s="2">
        <v>3</v>
      </c>
      <c r="Q23" s="6">
        <v>48.64</v>
      </c>
      <c r="R23" s="6">
        <v>19.940000000000001</v>
      </c>
      <c r="S23" s="6">
        <f>Q23+R23</f>
        <v>68.58</v>
      </c>
      <c r="T23" s="6">
        <f t="shared" si="5"/>
        <v>42.316800000000001</v>
      </c>
      <c r="U23" s="6">
        <f t="shared" si="5"/>
        <v>17.347799999999999</v>
      </c>
      <c r="V23" s="8" t="s">
        <v>119</v>
      </c>
      <c r="W23" s="8" t="s">
        <v>119</v>
      </c>
      <c r="X23" s="8"/>
      <c r="Y23" s="8"/>
    </row>
    <row r="24" spans="1:25" s="2" customFormat="1" x14ac:dyDescent="0.25">
      <c r="A24" s="2" t="s">
        <v>100</v>
      </c>
      <c r="B24" s="3" t="s">
        <v>144</v>
      </c>
      <c r="C24" s="3" t="s">
        <v>17</v>
      </c>
      <c r="D24" s="3" t="s">
        <v>18</v>
      </c>
      <c r="E24" s="3">
        <v>2019</v>
      </c>
      <c r="F24" s="3">
        <v>3</v>
      </c>
      <c r="G24" s="3">
        <v>6</v>
      </c>
      <c r="H24" s="3">
        <v>57</v>
      </c>
      <c r="I24" s="2" t="s">
        <v>116</v>
      </c>
      <c r="J24" s="2">
        <v>25</v>
      </c>
      <c r="K24" s="2" t="s">
        <v>123</v>
      </c>
      <c r="L24" s="8" t="s">
        <v>119</v>
      </c>
      <c r="M24" s="8" t="s">
        <v>119</v>
      </c>
      <c r="N24" s="4">
        <v>817.2</v>
      </c>
      <c r="O24" s="4">
        <v>15.7</v>
      </c>
      <c r="P24" s="2">
        <v>2.5</v>
      </c>
      <c r="Q24" s="6">
        <v>45.16</v>
      </c>
      <c r="R24" s="6">
        <v>21.5</v>
      </c>
      <c r="S24" s="6">
        <f>Q24+R24</f>
        <v>66.66</v>
      </c>
      <c r="T24" s="6">
        <f t="shared" si="5"/>
        <v>39.289199999999994</v>
      </c>
      <c r="U24" s="6">
        <f t="shared" si="5"/>
        <v>18.704999999999998</v>
      </c>
      <c r="V24" s="2" t="s">
        <v>120</v>
      </c>
      <c r="W24" s="8" t="s">
        <v>119</v>
      </c>
      <c r="X24" s="8"/>
      <c r="Y24" s="8"/>
    </row>
    <row r="25" spans="1:25" s="2" customFormat="1" x14ac:dyDescent="0.25">
      <c r="A25" s="2" t="s">
        <v>110</v>
      </c>
      <c r="B25" s="3" t="s">
        <v>144</v>
      </c>
      <c r="C25" s="3" t="s">
        <v>17</v>
      </c>
      <c r="D25" s="3" t="s">
        <v>18</v>
      </c>
      <c r="E25" s="3">
        <v>2019</v>
      </c>
      <c r="F25" s="3">
        <v>4</v>
      </c>
      <c r="G25" s="3">
        <v>6</v>
      </c>
      <c r="H25" s="3">
        <v>76</v>
      </c>
      <c r="I25" s="2" t="s">
        <v>116</v>
      </c>
      <c r="J25" s="8" t="s">
        <v>119</v>
      </c>
      <c r="K25" s="2" t="s">
        <v>123</v>
      </c>
      <c r="L25" s="8" t="s">
        <v>119</v>
      </c>
      <c r="M25" s="8" t="s">
        <v>119</v>
      </c>
      <c r="N25" s="4">
        <v>296.60000000000002</v>
      </c>
      <c r="O25" s="4">
        <v>15.2</v>
      </c>
      <c r="P25" s="2">
        <v>3</v>
      </c>
      <c r="Q25" s="8" t="s">
        <v>119</v>
      </c>
      <c r="R25" s="8" t="s">
        <v>119</v>
      </c>
      <c r="S25" s="8" t="s">
        <v>119</v>
      </c>
      <c r="T25" s="8" t="s">
        <v>119</v>
      </c>
      <c r="U25" s="8" t="s">
        <v>119</v>
      </c>
      <c r="V25" s="8" t="s">
        <v>119</v>
      </c>
      <c r="W25" s="2" t="s">
        <v>126</v>
      </c>
      <c r="X25" s="8"/>
      <c r="Y25" s="8"/>
    </row>
    <row r="26" spans="1:25" s="2" customFormat="1" x14ac:dyDescent="0.25">
      <c r="A26" s="2" t="s">
        <v>79</v>
      </c>
      <c r="B26" s="3" t="s">
        <v>145</v>
      </c>
      <c r="C26" s="3" t="s">
        <v>17</v>
      </c>
      <c r="D26" s="3" t="s">
        <v>18</v>
      </c>
      <c r="E26" s="3">
        <v>2019</v>
      </c>
      <c r="F26" s="3">
        <v>1</v>
      </c>
      <c r="G26" s="3">
        <v>7</v>
      </c>
      <c r="H26" s="3">
        <v>5</v>
      </c>
      <c r="I26" s="2" t="s">
        <v>117</v>
      </c>
      <c r="J26" s="2">
        <v>24</v>
      </c>
      <c r="K26" s="2" t="s">
        <v>122</v>
      </c>
      <c r="L26" s="2">
        <v>1.5</v>
      </c>
      <c r="M26" s="2">
        <v>42</v>
      </c>
      <c r="N26" s="4">
        <v>1089.8</v>
      </c>
      <c r="O26" s="4">
        <v>14.6</v>
      </c>
      <c r="P26" s="2">
        <v>2</v>
      </c>
      <c r="Q26" s="6">
        <v>45.29</v>
      </c>
      <c r="R26" s="6">
        <v>22.1</v>
      </c>
      <c r="S26" s="6">
        <f>Q26+R26</f>
        <v>67.39</v>
      </c>
      <c r="T26" s="6">
        <f t="shared" ref="T26:U28" si="6">Q26*0.87</f>
        <v>39.402299999999997</v>
      </c>
      <c r="U26" s="6">
        <f t="shared" si="6"/>
        <v>19.227</v>
      </c>
      <c r="V26" s="8" t="s">
        <v>119</v>
      </c>
      <c r="W26" s="8" t="s">
        <v>119</v>
      </c>
      <c r="X26" s="8"/>
      <c r="Y26" s="8"/>
    </row>
    <row r="27" spans="1:25" s="2" customFormat="1" x14ac:dyDescent="0.25">
      <c r="A27" s="2" t="s">
        <v>75</v>
      </c>
      <c r="B27" s="3" t="s">
        <v>145</v>
      </c>
      <c r="C27" s="3" t="s">
        <v>17</v>
      </c>
      <c r="D27" s="3" t="s">
        <v>18</v>
      </c>
      <c r="E27" s="3">
        <v>2019</v>
      </c>
      <c r="F27" s="3">
        <v>2</v>
      </c>
      <c r="G27" s="3">
        <v>7</v>
      </c>
      <c r="H27" s="3">
        <v>48</v>
      </c>
      <c r="I27" s="2" t="s">
        <v>117</v>
      </c>
      <c r="J27" s="2">
        <v>33</v>
      </c>
      <c r="K27" s="2" t="s">
        <v>122</v>
      </c>
      <c r="L27" s="2">
        <v>2</v>
      </c>
      <c r="M27" s="2">
        <v>36</v>
      </c>
      <c r="N27" s="4">
        <v>643.5</v>
      </c>
      <c r="O27" s="4">
        <v>15.4</v>
      </c>
      <c r="P27" s="2">
        <v>3</v>
      </c>
      <c r="Q27" s="6">
        <v>47.92</v>
      </c>
      <c r="R27" s="6">
        <v>21.68</v>
      </c>
      <c r="S27" s="6">
        <f>Q27+R27</f>
        <v>69.599999999999994</v>
      </c>
      <c r="T27" s="6">
        <f t="shared" si="6"/>
        <v>41.690400000000004</v>
      </c>
      <c r="U27" s="6">
        <f t="shared" si="6"/>
        <v>18.861599999999999</v>
      </c>
      <c r="V27" s="8" t="s">
        <v>119</v>
      </c>
      <c r="W27" s="2" t="s">
        <v>126</v>
      </c>
      <c r="X27" s="8"/>
      <c r="Y27" s="8"/>
    </row>
    <row r="28" spans="1:25" s="2" customFormat="1" x14ac:dyDescent="0.25">
      <c r="A28" s="2" t="s">
        <v>103</v>
      </c>
      <c r="B28" s="3" t="s">
        <v>145</v>
      </c>
      <c r="C28" s="3" t="s">
        <v>17</v>
      </c>
      <c r="D28" s="3" t="s">
        <v>18</v>
      </c>
      <c r="E28" s="3">
        <v>2019</v>
      </c>
      <c r="F28" s="3">
        <v>3</v>
      </c>
      <c r="G28" s="3">
        <v>7</v>
      </c>
      <c r="H28" s="3">
        <v>54</v>
      </c>
      <c r="I28" s="2" t="s">
        <v>117</v>
      </c>
      <c r="J28" s="2">
        <v>26</v>
      </c>
      <c r="K28" s="2" t="s">
        <v>122</v>
      </c>
      <c r="L28" s="8" t="s">
        <v>119</v>
      </c>
      <c r="M28" s="8" t="s">
        <v>119</v>
      </c>
      <c r="N28" s="4">
        <v>578.20000000000005</v>
      </c>
      <c r="O28" s="4">
        <v>13.8</v>
      </c>
      <c r="P28" s="2">
        <v>2.5</v>
      </c>
      <c r="Q28" s="6">
        <v>48.15</v>
      </c>
      <c r="R28" s="6">
        <v>21.45</v>
      </c>
      <c r="S28" s="6">
        <f>Q28+R28</f>
        <v>69.599999999999994</v>
      </c>
      <c r="T28" s="6">
        <f t="shared" si="6"/>
        <v>41.890499999999996</v>
      </c>
      <c r="U28" s="6">
        <f t="shared" si="6"/>
        <v>18.6615</v>
      </c>
      <c r="V28" s="8" t="s">
        <v>119</v>
      </c>
      <c r="W28" s="2" t="s">
        <v>126</v>
      </c>
      <c r="X28" s="8"/>
      <c r="Y28" s="8"/>
    </row>
    <row r="29" spans="1:25" s="2" customFormat="1" x14ac:dyDescent="0.25">
      <c r="A29" s="2" t="s">
        <v>70</v>
      </c>
      <c r="B29" s="3" t="s">
        <v>145</v>
      </c>
      <c r="C29" s="3" t="s">
        <v>17</v>
      </c>
      <c r="D29" s="3" t="s">
        <v>18</v>
      </c>
      <c r="E29" s="3">
        <v>2019</v>
      </c>
      <c r="F29" s="3">
        <v>4</v>
      </c>
      <c r="G29" s="3">
        <v>7</v>
      </c>
      <c r="H29" s="3">
        <v>88</v>
      </c>
      <c r="I29" s="2" t="s">
        <v>117</v>
      </c>
      <c r="J29" s="8" t="s">
        <v>119</v>
      </c>
      <c r="K29" s="2" t="s">
        <v>122</v>
      </c>
      <c r="L29" s="8" t="s">
        <v>119</v>
      </c>
      <c r="M29" s="8" t="s">
        <v>119</v>
      </c>
      <c r="N29" s="4">
        <v>790.4</v>
      </c>
      <c r="O29" s="4">
        <v>16.2</v>
      </c>
      <c r="P29" s="2">
        <v>4</v>
      </c>
      <c r="Q29" s="8" t="s">
        <v>119</v>
      </c>
      <c r="R29" s="8" t="s">
        <v>119</v>
      </c>
      <c r="S29" s="8" t="s">
        <v>119</v>
      </c>
      <c r="T29" s="8" t="s">
        <v>119</v>
      </c>
      <c r="U29" s="8" t="s">
        <v>119</v>
      </c>
      <c r="V29" s="8" t="s">
        <v>119</v>
      </c>
      <c r="W29" s="2" t="s">
        <v>126</v>
      </c>
      <c r="X29" s="8"/>
      <c r="Y29" s="8"/>
    </row>
    <row r="30" spans="1:25" s="2" customFormat="1" x14ac:dyDescent="0.25">
      <c r="A30" s="2" t="s">
        <v>104</v>
      </c>
      <c r="B30" s="3" t="s">
        <v>146</v>
      </c>
      <c r="C30" s="3" t="s">
        <v>17</v>
      </c>
      <c r="D30" s="3" t="s">
        <v>18</v>
      </c>
      <c r="E30" s="3">
        <v>2019</v>
      </c>
      <c r="F30" s="3">
        <v>1</v>
      </c>
      <c r="G30" s="3">
        <v>8</v>
      </c>
      <c r="H30" s="3">
        <v>4</v>
      </c>
      <c r="I30" s="2" t="s">
        <v>116</v>
      </c>
      <c r="J30" s="2">
        <v>26</v>
      </c>
      <c r="K30" s="2" t="s">
        <v>122</v>
      </c>
      <c r="L30" s="2">
        <v>3</v>
      </c>
      <c r="M30" s="2">
        <v>44</v>
      </c>
      <c r="N30" s="4">
        <v>1100.8</v>
      </c>
      <c r="O30" s="4">
        <v>15.7</v>
      </c>
      <c r="P30" s="2">
        <v>2.5</v>
      </c>
      <c r="Q30" s="6">
        <v>40.68</v>
      </c>
      <c r="R30" s="6">
        <v>23.59</v>
      </c>
      <c r="S30" s="6">
        <f>Q30+R30</f>
        <v>64.27</v>
      </c>
      <c r="T30" s="6">
        <f t="shared" ref="T30:U32" si="7">Q30*0.87</f>
        <v>35.391599999999997</v>
      </c>
      <c r="U30" s="6">
        <f t="shared" si="7"/>
        <v>20.523299999999999</v>
      </c>
      <c r="V30" s="8" t="s">
        <v>119</v>
      </c>
      <c r="W30" s="8" t="s">
        <v>119</v>
      </c>
      <c r="X30" s="8"/>
      <c r="Y30" s="8"/>
    </row>
    <row r="31" spans="1:25" s="2" customFormat="1" x14ac:dyDescent="0.25">
      <c r="A31" s="2" t="s">
        <v>57</v>
      </c>
      <c r="B31" s="3" t="s">
        <v>146</v>
      </c>
      <c r="C31" s="3" t="s">
        <v>17</v>
      </c>
      <c r="D31" s="3" t="s">
        <v>18</v>
      </c>
      <c r="E31" s="3">
        <v>2019</v>
      </c>
      <c r="F31" s="3">
        <v>2</v>
      </c>
      <c r="G31" s="3">
        <v>8</v>
      </c>
      <c r="H31" s="3">
        <v>32</v>
      </c>
      <c r="I31" s="2" t="s">
        <v>116</v>
      </c>
      <c r="J31" s="2">
        <v>30</v>
      </c>
      <c r="K31" s="2" t="s">
        <v>122</v>
      </c>
      <c r="L31" s="2">
        <v>1.5</v>
      </c>
      <c r="M31" s="2">
        <v>30</v>
      </c>
      <c r="N31" s="4">
        <v>394.9</v>
      </c>
      <c r="O31" s="4">
        <v>16.399999999999999</v>
      </c>
      <c r="P31" s="2">
        <v>3.5</v>
      </c>
      <c r="Q31" s="6">
        <v>42.35</v>
      </c>
      <c r="R31" s="6">
        <v>22.71</v>
      </c>
      <c r="S31" s="6">
        <f>Q31+R31</f>
        <v>65.06</v>
      </c>
      <c r="T31" s="6">
        <f t="shared" si="7"/>
        <v>36.844500000000004</v>
      </c>
      <c r="U31" s="6">
        <f t="shared" si="7"/>
        <v>19.7577</v>
      </c>
      <c r="V31" s="8" t="s">
        <v>119</v>
      </c>
      <c r="W31" s="2" t="s">
        <v>126</v>
      </c>
      <c r="X31" s="8"/>
      <c r="Y31" s="8"/>
    </row>
    <row r="32" spans="1:25" s="2" customFormat="1" x14ac:dyDescent="0.25">
      <c r="A32" s="2" t="s">
        <v>43</v>
      </c>
      <c r="B32" s="3" t="s">
        <v>146</v>
      </c>
      <c r="C32" s="3" t="s">
        <v>17</v>
      </c>
      <c r="D32" s="3" t="s">
        <v>18</v>
      </c>
      <c r="E32" s="3">
        <v>2019</v>
      </c>
      <c r="F32" s="3">
        <v>3</v>
      </c>
      <c r="G32" s="3">
        <v>8</v>
      </c>
      <c r="H32" s="3">
        <v>62</v>
      </c>
      <c r="I32" s="2" t="s">
        <v>116</v>
      </c>
      <c r="J32" s="2">
        <v>32</v>
      </c>
      <c r="K32" s="2" t="s">
        <v>122</v>
      </c>
      <c r="L32" s="8" t="s">
        <v>119</v>
      </c>
      <c r="M32" s="8" t="s">
        <v>119</v>
      </c>
      <c r="N32" s="4">
        <v>1011.1</v>
      </c>
      <c r="O32" s="4">
        <v>17</v>
      </c>
      <c r="P32" s="2">
        <v>2.5</v>
      </c>
      <c r="Q32" s="6">
        <v>41.92</v>
      </c>
      <c r="R32" s="6">
        <v>23</v>
      </c>
      <c r="S32" s="6">
        <f>Q32+R32</f>
        <v>64.92</v>
      </c>
      <c r="T32" s="6">
        <f t="shared" si="7"/>
        <v>36.470399999999998</v>
      </c>
      <c r="U32" s="6">
        <f t="shared" si="7"/>
        <v>20.010000000000002</v>
      </c>
      <c r="V32" s="8" t="s">
        <v>119</v>
      </c>
      <c r="W32" s="8" t="s">
        <v>119</v>
      </c>
      <c r="X32" s="8"/>
      <c r="Y32" s="8"/>
    </row>
    <row r="33" spans="1:25" s="2" customFormat="1" x14ac:dyDescent="0.25">
      <c r="A33" s="2" t="s">
        <v>114</v>
      </c>
      <c r="B33" s="3" t="s">
        <v>146</v>
      </c>
      <c r="C33" s="3" t="s">
        <v>17</v>
      </c>
      <c r="D33" s="3" t="s">
        <v>18</v>
      </c>
      <c r="E33" s="3">
        <v>2019</v>
      </c>
      <c r="F33" s="3">
        <v>4</v>
      </c>
      <c r="G33" s="3">
        <v>8</v>
      </c>
      <c r="H33" s="3">
        <v>96</v>
      </c>
      <c r="I33" s="2" t="s">
        <v>116</v>
      </c>
      <c r="J33" s="8" t="s">
        <v>119</v>
      </c>
      <c r="K33" s="2" t="s">
        <v>122</v>
      </c>
      <c r="L33" s="8" t="s">
        <v>119</v>
      </c>
      <c r="M33" s="8" t="s">
        <v>119</v>
      </c>
      <c r="N33" s="4">
        <v>1426.7</v>
      </c>
      <c r="O33" s="4">
        <v>15.7</v>
      </c>
      <c r="P33" s="2">
        <v>2.5</v>
      </c>
      <c r="Q33" s="8" t="s">
        <v>119</v>
      </c>
      <c r="R33" s="8" t="s">
        <v>119</v>
      </c>
      <c r="S33" s="8" t="s">
        <v>119</v>
      </c>
      <c r="T33" s="8" t="s">
        <v>119</v>
      </c>
      <c r="U33" s="8" t="s">
        <v>119</v>
      </c>
      <c r="V33" s="2" t="s">
        <v>121</v>
      </c>
      <c r="W33" s="8" t="s">
        <v>119</v>
      </c>
      <c r="X33" s="8"/>
      <c r="Y33" s="8"/>
    </row>
    <row r="34" spans="1:25" s="2" customFormat="1" x14ac:dyDescent="0.25">
      <c r="A34" s="2" t="s">
        <v>63</v>
      </c>
      <c r="B34" s="3" t="s">
        <v>147</v>
      </c>
      <c r="C34" s="3" t="s">
        <v>17</v>
      </c>
      <c r="D34" s="3" t="s">
        <v>18</v>
      </c>
      <c r="E34" s="3">
        <v>2019</v>
      </c>
      <c r="F34" s="3">
        <v>1</v>
      </c>
      <c r="G34" s="3">
        <v>9</v>
      </c>
      <c r="H34" s="3">
        <v>22</v>
      </c>
      <c r="I34" s="2" t="s">
        <v>117</v>
      </c>
      <c r="J34" s="2">
        <v>27</v>
      </c>
      <c r="K34" s="2" t="s">
        <v>123</v>
      </c>
      <c r="L34" s="2">
        <v>1.5</v>
      </c>
      <c r="M34" s="2">
        <v>34</v>
      </c>
      <c r="N34" s="4">
        <v>542</v>
      </c>
      <c r="O34" s="4">
        <v>19</v>
      </c>
      <c r="P34" s="2">
        <v>2.5</v>
      </c>
      <c r="Q34" s="6">
        <v>47.84</v>
      </c>
      <c r="R34" s="6">
        <v>22.14</v>
      </c>
      <c r="S34" s="6">
        <f>Q34+R34</f>
        <v>69.98</v>
      </c>
      <c r="T34" s="6">
        <f t="shared" ref="T34:U36" si="8">Q34*0.87</f>
        <v>41.620800000000003</v>
      </c>
      <c r="U34" s="6">
        <f t="shared" si="8"/>
        <v>19.261800000000001</v>
      </c>
      <c r="V34" s="8" t="s">
        <v>119</v>
      </c>
      <c r="W34" s="8" t="s">
        <v>119</v>
      </c>
      <c r="X34" s="8"/>
      <c r="Y34" s="8"/>
    </row>
    <row r="35" spans="1:25" s="2" customFormat="1" x14ac:dyDescent="0.25">
      <c r="A35" s="2" t="s">
        <v>89</v>
      </c>
      <c r="B35" s="3" t="s">
        <v>147</v>
      </c>
      <c r="C35" s="3" t="s">
        <v>17</v>
      </c>
      <c r="D35" s="3" t="s">
        <v>18</v>
      </c>
      <c r="E35" s="3">
        <v>2019</v>
      </c>
      <c r="F35" s="3">
        <v>2</v>
      </c>
      <c r="G35" s="3">
        <v>9</v>
      </c>
      <c r="H35" s="3">
        <v>27</v>
      </c>
      <c r="I35" s="2" t="s">
        <v>117</v>
      </c>
      <c r="J35" s="2">
        <v>31</v>
      </c>
      <c r="K35" s="2" t="s">
        <v>123</v>
      </c>
      <c r="L35" s="2">
        <v>2</v>
      </c>
      <c r="M35" s="2">
        <v>39</v>
      </c>
      <c r="N35" s="4">
        <v>675.4</v>
      </c>
      <c r="O35" s="4">
        <v>19.5</v>
      </c>
      <c r="P35" s="2">
        <v>2</v>
      </c>
      <c r="Q35" s="6">
        <v>45.86</v>
      </c>
      <c r="R35" s="6">
        <v>23.02</v>
      </c>
      <c r="S35" s="6">
        <f>Q35+R35</f>
        <v>68.88</v>
      </c>
      <c r="T35" s="6">
        <f t="shared" si="8"/>
        <v>39.898200000000003</v>
      </c>
      <c r="U35" s="6">
        <f t="shared" si="8"/>
        <v>20.0274</v>
      </c>
      <c r="V35" s="8" t="s">
        <v>119</v>
      </c>
      <c r="W35" s="8" t="s">
        <v>119</v>
      </c>
      <c r="X35" s="8"/>
      <c r="Y35" s="8"/>
    </row>
    <row r="36" spans="1:25" s="2" customFormat="1" x14ac:dyDescent="0.25">
      <c r="A36" s="2" t="s">
        <v>112</v>
      </c>
      <c r="B36" s="3" t="s">
        <v>147</v>
      </c>
      <c r="C36" s="3" t="s">
        <v>17</v>
      </c>
      <c r="D36" s="3" t="s">
        <v>18</v>
      </c>
      <c r="E36" s="3">
        <v>2019</v>
      </c>
      <c r="F36" s="3">
        <v>3</v>
      </c>
      <c r="G36" s="3">
        <v>9</v>
      </c>
      <c r="H36" s="3">
        <v>65</v>
      </c>
      <c r="I36" s="2" t="s">
        <v>117</v>
      </c>
      <c r="J36" s="2">
        <v>29</v>
      </c>
      <c r="K36" s="2" t="s">
        <v>123</v>
      </c>
      <c r="L36" s="8" t="s">
        <v>119</v>
      </c>
      <c r="M36" s="8" t="s">
        <v>119</v>
      </c>
      <c r="N36" s="4">
        <v>877.4</v>
      </c>
      <c r="O36" s="4">
        <v>19.3</v>
      </c>
      <c r="P36" s="2">
        <v>1.5</v>
      </c>
      <c r="Q36" s="6">
        <v>44.6</v>
      </c>
      <c r="R36" s="6">
        <v>23.74</v>
      </c>
      <c r="S36" s="6">
        <f>Q36+R36</f>
        <v>68.34</v>
      </c>
      <c r="T36" s="6">
        <f t="shared" si="8"/>
        <v>38.802</v>
      </c>
      <c r="U36" s="6">
        <f t="shared" si="8"/>
        <v>20.653799999999997</v>
      </c>
      <c r="V36" s="8" t="s">
        <v>119</v>
      </c>
      <c r="W36" s="8" t="s">
        <v>119</v>
      </c>
      <c r="X36" s="8"/>
      <c r="Y36" s="8"/>
    </row>
    <row r="37" spans="1:25" s="2" customFormat="1" x14ac:dyDescent="0.25">
      <c r="A37" s="2" t="s">
        <v>33</v>
      </c>
      <c r="B37" s="3" t="s">
        <v>147</v>
      </c>
      <c r="C37" s="3" t="s">
        <v>17</v>
      </c>
      <c r="D37" s="3" t="s">
        <v>18</v>
      </c>
      <c r="E37" s="3">
        <v>2019</v>
      </c>
      <c r="F37" s="3">
        <v>4</v>
      </c>
      <c r="G37" s="3">
        <v>9</v>
      </c>
      <c r="H37" s="3">
        <v>79</v>
      </c>
      <c r="I37" s="2" t="s">
        <v>117</v>
      </c>
      <c r="J37" s="8" t="s">
        <v>119</v>
      </c>
      <c r="K37" s="2" t="s">
        <v>123</v>
      </c>
      <c r="L37" s="8" t="s">
        <v>119</v>
      </c>
      <c r="M37" s="8" t="s">
        <v>119</v>
      </c>
      <c r="N37" s="4">
        <v>1165</v>
      </c>
      <c r="O37" s="4">
        <v>17.2</v>
      </c>
      <c r="P37" s="2">
        <v>1.5</v>
      </c>
      <c r="Q37" s="8" t="s">
        <v>119</v>
      </c>
      <c r="R37" s="8" t="s">
        <v>119</v>
      </c>
      <c r="S37" s="8" t="s">
        <v>119</v>
      </c>
      <c r="T37" s="8" t="s">
        <v>119</v>
      </c>
      <c r="U37" s="8" t="s">
        <v>119</v>
      </c>
      <c r="V37" s="8" t="s">
        <v>119</v>
      </c>
      <c r="W37" s="8" t="s">
        <v>119</v>
      </c>
      <c r="X37" s="8"/>
      <c r="Y37" s="8"/>
    </row>
    <row r="38" spans="1:25" s="2" customFormat="1" x14ac:dyDescent="0.25">
      <c r="A38" s="2" t="s">
        <v>74</v>
      </c>
      <c r="B38" s="3" t="s">
        <v>148</v>
      </c>
      <c r="C38" s="3" t="s">
        <v>17</v>
      </c>
      <c r="D38" s="3" t="s">
        <v>18</v>
      </c>
      <c r="E38" s="3">
        <v>2019</v>
      </c>
      <c r="F38" s="3">
        <v>1</v>
      </c>
      <c r="G38" s="3">
        <v>10</v>
      </c>
      <c r="H38" s="3">
        <v>2</v>
      </c>
      <c r="I38" s="2" t="s">
        <v>116</v>
      </c>
      <c r="J38" s="2">
        <v>30</v>
      </c>
      <c r="K38" s="2" t="s">
        <v>123</v>
      </c>
      <c r="L38" s="2">
        <v>2.5</v>
      </c>
      <c r="M38" s="2">
        <v>48</v>
      </c>
      <c r="N38" s="4">
        <v>956</v>
      </c>
      <c r="O38" s="4">
        <v>17.100000000000001</v>
      </c>
      <c r="P38" s="2">
        <v>2.5</v>
      </c>
      <c r="Q38" s="6">
        <v>46.87</v>
      </c>
      <c r="R38" s="6">
        <v>20.95</v>
      </c>
      <c r="S38" s="6">
        <f>Q38+R38</f>
        <v>67.819999999999993</v>
      </c>
      <c r="T38" s="6">
        <f t="shared" ref="T38:U40" si="9">Q38*0.87</f>
        <v>40.776899999999998</v>
      </c>
      <c r="U38" s="6">
        <f t="shared" si="9"/>
        <v>18.226499999999998</v>
      </c>
      <c r="V38" s="8" t="s">
        <v>119</v>
      </c>
      <c r="W38" s="8" t="s">
        <v>119</v>
      </c>
      <c r="X38" s="8"/>
      <c r="Y38" s="8"/>
    </row>
    <row r="39" spans="1:25" s="2" customFormat="1" x14ac:dyDescent="0.25">
      <c r="A39" s="2" t="s">
        <v>54</v>
      </c>
      <c r="B39" s="3" t="s">
        <v>148</v>
      </c>
      <c r="C39" s="3" t="s">
        <v>17</v>
      </c>
      <c r="D39" s="3" t="s">
        <v>18</v>
      </c>
      <c r="E39" s="3">
        <v>2019</v>
      </c>
      <c r="F39" s="3">
        <v>2</v>
      </c>
      <c r="G39" s="3">
        <v>10</v>
      </c>
      <c r="H39" s="3">
        <v>39</v>
      </c>
      <c r="I39" s="2" t="s">
        <v>116</v>
      </c>
      <c r="J39" s="2">
        <v>30</v>
      </c>
      <c r="K39" s="2" t="s">
        <v>123</v>
      </c>
      <c r="L39" s="2">
        <v>2</v>
      </c>
      <c r="M39" s="2">
        <v>34</v>
      </c>
      <c r="N39" s="4">
        <v>502.6</v>
      </c>
      <c r="O39" s="4">
        <v>19</v>
      </c>
      <c r="P39" s="2">
        <v>3.5</v>
      </c>
      <c r="Q39" s="6">
        <v>49.63</v>
      </c>
      <c r="R39" s="6">
        <v>20.79</v>
      </c>
      <c r="S39" s="6">
        <f>Q39+R39</f>
        <v>70.42</v>
      </c>
      <c r="T39" s="6">
        <f t="shared" si="9"/>
        <v>43.178100000000001</v>
      </c>
      <c r="U39" s="6">
        <f t="shared" si="9"/>
        <v>18.087299999999999</v>
      </c>
      <c r="V39" s="8" t="s">
        <v>119</v>
      </c>
      <c r="W39" s="2" t="s">
        <v>126</v>
      </c>
      <c r="X39" s="8"/>
      <c r="Y39" s="8"/>
    </row>
    <row r="40" spans="1:25" s="2" customFormat="1" x14ac:dyDescent="0.25">
      <c r="A40" s="2" t="s">
        <v>29</v>
      </c>
      <c r="B40" s="3" t="s">
        <v>148</v>
      </c>
      <c r="C40" s="3" t="s">
        <v>17</v>
      </c>
      <c r="D40" s="3" t="s">
        <v>18</v>
      </c>
      <c r="E40" s="3">
        <v>2019</v>
      </c>
      <c r="F40" s="3">
        <v>3</v>
      </c>
      <c r="G40" s="3">
        <v>10</v>
      </c>
      <c r="H40" s="3">
        <v>70</v>
      </c>
      <c r="I40" s="2" t="s">
        <v>116</v>
      </c>
      <c r="J40" s="2">
        <v>27</v>
      </c>
      <c r="K40" s="2" t="s">
        <v>123</v>
      </c>
      <c r="L40" s="8" t="s">
        <v>119</v>
      </c>
      <c r="M40" s="8" t="s">
        <v>119</v>
      </c>
      <c r="N40" s="4">
        <v>1589.3</v>
      </c>
      <c r="O40" s="4">
        <v>17.399999999999999</v>
      </c>
      <c r="P40" s="2">
        <v>2.5</v>
      </c>
      <c r="Q40" s="6">
        <v>44.26</v>
      </c>
      <c r="R40" s="6">
        <v>22.15</v>
      </c>
      <c r="S40" s="6">
        <f>Q40+R40</f>
        <v>66.41</v>
      </c>
      <c r="T40" s="6">
        <f t="shared" si="9"/>
        <v>38.5062</v>
      </c>
      <c r="U40" s="6">
        <f t="shared" si="9"/>
        <v>19.270499999999998</v>
      </c>
      <c r="V40" s="8" t="s">
        <v>119</v>
      </c>
      <c r="W40" s="8" t="s">
        <v>119</v>
      </c>
      <c r="X40" s="8"/>
      <c r="Y40" s="8"/>
    </row>
    <row r="41" spans="1:25" s="2" customFormat="1" x14ac:dyDescent="0.25">
      <c r="A41" s="2" t="s">
        <v>113</v>
      </c>
      <c r="B41" s="3" t="s">
        <v>148</v>
      </c>
      <c r="C41" s="3" t="s">
        <v>17</v>
      </c>
      <c r="D41" s="3" t="s">
        <v>18</v>
      </c>
      <c r="E41" s="3">
        <v>2019</v>
      </c>
      <c r="F41" s="3">
        <v>4</v>
      </c>
      <c r="G41" s="3">
        <v>10</v>
      </c>
      <c r="H41" s="3">
        <v>85</v>
      </c>
      <c r="I41" s="2" t="s">
        <v>116</v>
      </c>
      <c r="J41" s="8" t="s">
        <v>119</v>
      </c>
      <c r="K41" s="2" t="s">
        <v>123</v>
      </c>
      <c r="L41" s="8" t="s">
        <v>119</v>
      </c>
      <c r="M41" s="8" t="s">
        <v>119</v>
      </c>
      <c r="N41" s="4">
        <v>469.4</v>
      </c>
      <c r="O41" s="4">
        <v>14.4</v>
      </c>
      <c r="P41" s="2">
        <v>2.5</v>
      </c>
      <c r="Q41" s="8" t="s">
        <v>119</v>
      </c>
      <c r="R41" s="8" t="s">
        <v>119</v>
      </c>
      <c r="S41" s="8" t="s">
        <v>119</v>
      </c>
      <c r="T41" s="8" t="s">
        <v>119</v>
      </c>
      <c r="U41" s="8" t="s">
        <v>119</v>
      </c>
      <c r="V41" s="8" t="s">
        <v>119</v>
      </c>
      <c r="W41" s="2" t="s">
        <v>126</v>
      </c>
      <c r="X41" s="8"/>
      <c r="Y41" s="8"/>
    </row>
    <row r="42" spans="1:25" s="2" customFormat="1" x14ac:dyDescent="0.25">
      <c r="A42" s="2" t="s">
        <v>82</v>
      </c>
      <c r="B42" s="3" t="s">
        <v>149</v>
      </c>
      <c r="C42" s="3" t="s">
        <v>17</v>
      </c>
      <c r="D42" s="3" t="s">
        <v>18</v>
      </c>
      <c r="E42" s="3">
        <v>2019</v>
      </c>
      <c r="F42" s="3">
        <v>1</v>
      </c>
      <c r="G42" s="3">
        <v>11</v>
      </c>
      <c r="H42" s="3">
        <v>6</v>
      </c>
      <c r="I42" s="2" t="s">
        <v>116</v>
      </c>
      <c r="J42" s="2">
        <v>22</v>
      </c>
      <c r="K42" s="2" t="s">
        <v>123</v>
      </c>
      <c r="L42" s="2">
        <v>3</v>
      </c>
      <c r="M42" s="2">
        <v>40</v>
      </c>
      <c r="N42" s="4">
        <v>1111.0999999999999</v>
      </c>
      <c r="O42" s="4">
        <v>13.9</v>
      </c>
      <c r="P42" s="2">
        <v>1.5</v>
      </c>
      <c r="Q42" s="6">
        <v>41.28</v>
      </c>
      <c r="R42" s="6">
        <v>23.9</v>
      </c>
      <c r="S42" s="6">
        <f>Q42+R42</f>
        <v>65.180000000000007</v>
      </c>
      <c r="T42" s="6">
        <f t="shared" ref="T42:U44" si="10">Q42*0.87</f>
        <v>35.913600000000002</v>
      </c>
      <c r="U42" s="6">
        <f t="shared" si="10"/>
        <v>20.792999999999999</v>
      </c>
      <c r="V42" s="8" t="s">
        <v>119</v>
      </c>
      <c r="W42" s="8" t="s">
        <v>119</v>
      </c>
      <c r="X42" s="8"/>
      <c r="Y42" s="8"/>
    </row>
    <row r="43" spans="1:25" s="2" customFormat="1" x14ac:dyDescent="0.25">
      <c r="A43" s="2" t="s">
        <v>87</v>
      </c>
      <c r="B43" s="3" t="s">
        <v>149</v>
      </c>
      <c r="C43" s="3" t="s">
        <v>17</v>
      </c>
      <c r="D43" s="3" t="s">
        <v>18</v>
      </c>
      <c r="E43" s="3">
        <v>2019</v>
      </c>
      <c r="F43" s="3">
        <v>2</v>
      </c>
      <c r="G43" s="3">
        <v>11</v>
      </c>
      <c r="H43" s="3">
        <v>34</v>
      </c>
      <c r="I43" s="2" t="s">
        <v>116</v>
      </c>
      <c r="J43" s="2">
        <v>25</v>
      </c>
      <c r="K43" s="2" t="s">
        <v>123</v>
      </c>
      <c r="L43" s="2">
        <v>3</v>
      </c>
      <c r="M43" s="2">
        <v>36</v>
      </c>
      <c r="N43" s="4">
        <v>792</v>
      </c>
      <c r="O43" s="4">
        <v>17</v>
      </c>
      <c r="P43" s="2">
        <v>1.5</v>
      </c>
      <c r="Q43" s="6">
        <v>44.61</v>
      </c>
      <c r="R43" s="6">
        <v>22.42</v>
      </c>
      <c r="S43" s="6">
        <f>Q43+R43</f>
        <v>67.03</v>
      </c>
      <c r="T43" s="6">
        <f t="shared" si="10"/>
        <v>38.810699999999997</v>
      </c>
      <c r="U43" s="6">
        <f t="shared" si="10"/>
        <v>19.505400000000002</v>
      </c>
      <c r="V43" s="8" t="s">
        <v>119</v>
      </c>
      <c r="W43" s="8" t="s">
        <v>119</v>
      </c>
      <c r="X43" s="8"/>
      <c r="Y43" s="8"/>
    </row>
    <row r="44" spans="1:25" s="2" customFormat="1" x14ac:dyDescent="0.25">
      <c r="A44" s="2" t="s">
        <v>59</v>
      </c>
      <c r="B44" s="3" t="s">
        <v>149</v>
      </c>
      <c r="C44" s="3" t="s">
        <v>17</v>
      </c>
      <c r="D44" s="3" t="s">
        <v>18</v>
      </c>
      <c r="E44" s="3">
        <v>2019</v>
      </c>
      <c r="F44" s="3">
        <v>3</v>
      </c>
      <c r="G44" s="3">
        <v>11</v>
      </c>
      <c r="H44" s="3">
        <v>68</v>
      </c>
      <c r="I44" s="2" t="s">
        <v>116</v>
      </c>
      <c r="J44" s="2">
        <v>22</v>
      </c>
      <c r="K44" s="2" t="s">
        <v>123</v>
      </c>
      <c r="L44" s="8" t="s">
        <v>119</v>
      </c>
      <c r="M44" s="8" t="s">
        <v>119</v>
      </c>
      <c r="N44" s="4">
        <v>1252.5</v>
      </c>
      <c r="O44" s="4">
        <v>16.100000000000001</v>
      </c>
      <c r="P44" s="2">
        <v>1.5</v>
      </c>
      <c r="Q44" s="6">
        <v>43.59</v>
      </c>
      <c r="R44" s="6">
        <v>23.01</v>
      </c>
      <c r="S44" s="6">
        <f>Q44+R44</f>
        <v>66.600000000000009</v>
      </c>
      <c r="T44" s="6">
        <f t="shared" si="10"/>
        <v>37.923300000000005</v>
      </c>
      <c r="U44" s="6">
        <f t="shared" si="10"/>
        <v>20.018700000000003</v>
      </c>
      <c r="V44" s="8" t="s">
        <v>119</v>
      </c>
      <c r="W44" s="8" t="s">
        <v>119</v>
      </c>
      <c r="X44" s="8"/>
      <c r="Y44" s="8"/>
    </row>
    <row r="45" spans="1:25" s="2" customFormat="1" x14ac:dyDescent="0.25">
      <c r="A45" s="2" t="s">
        <v>77</v>
      </c>
      <c r="B45" s="3" t="s">
        <v>149</v>
      </c>
      <c r="C45" s="3" t="s">
        <v>17</v>
      </c>
      <c r="D45" s="3" t="s">
        <v>18</v>
      </c>
      <c r="E45" s="3">
        <v>2019</v>
      </c>
      <c r="F45" s="3">
        <v>4</v>
      </c>
      <c r="G45" s="3">
        <v>11</v>
      </c>
      <c r="H45" s="3">
        <v>97</v>
      </c>
      <c r="I45" s="2" t="s">
        <v>116</v>
      </c>
      <c r="J45" s="8" t="s">
        <v>119</v>
      </c>
      <c r="K45" s="2" t="s">
        <v>123</v>
      </c>
      <c r="L45" s="8" t="s">
        <v>119</v>
      </c>
      <c r="M45" s="8" t="s">
        <v>119</v>
      </c>
      <c r="N45" s="4">
        <v>1035.0999999999999</v>
      </c>
      <c r="O45" s="4">
        <v>16.2</v>
      </c>
      <c r="P45" s="2">
        <v>2.5</v>
      </c>
      <c r="Q45" s="8" t="s">
        <v>119</v>
      </c>
      <c r="R45" s="8" t="s">
        <v>119</v>
      </c>
      <c r="S45" s="8" t="s">
        <v>119</v>
      </c>
      <c r="T45" s="8" t="s">
        <v>119</v>
      </c>
      <c r="U45" s="8" t="s">
        <v>119</v>
      </c>
      <c r="V45" s="8" t="s">
        <v>119</v>
      </c>
      <c r="W45" s="8" t="s">
        <v>119</v>
      </c>
      <c r="X45" s="8"/>
      <c r="Y45" s="8"/>
    </row>
    <row r="46" spans="1:25" s="2" customFormat="1" x14ac:dyDescent="0.25">
      <c r="A46" s="2" t="s">
        <v>66</v>
      </c>
      <c r="B46" s="3" t="s">
        <v>150</v>
      </c>
      <c r="C46" s="3" t="s">
        <v>17</v>
      </c>
      <c r="D46" s="3" t="s">
        <v>18</v>
      </c>
      <c r="E46" s="3">
        <v>2019</v>
      </c>
      <c r="F46" s="3">
        <v>1</v>
      </c>
      <c r="G46" s="3">
        <v>12</v>
      </c>
      <c r="H46" s="3">
        <v>19</v>
      </c>
      <c r="I46" s="2" t="s">
        <v>116</v>
      </c>
      <c r="J46" s="2">
        <v>27</v>
      </c>
      <c r="K46" s="2" t="s">
        <v>123</v>
      </c>
      <c r="L46" s="2">
        <v>2</v>
      </c>
      <c r="M46" s="2">
        <v>32</v>
      </c>
      <c r="N46" s="4">
        <v>523.79999999999995</v>
      </c>
      <c r="O46" s="4">
        <v>18.5</v>
      </c>
      <c r="P46" s="2">
        <v>2.5</v>
      </c>
      <c r="Q46" s="6">
        <v>44.09</v>
      </c>
      <c r="R46" s="6">
        <v>22.75</v>
      </c>
      <c r="S46" s="6">
        <f>Q46+R46</f>
        <v>66.84</v>
      </c>
      <c r="T46" s="6">
        <f t="shared" ref="T46:U48" si="11">Q46*0.87</f>
        <v>38.3583</v>
      </c>
      <c r="U46" s="6">
        <f t="shared" si="11"/>
        <v>19.7925</v>
      </c>
      <c r="V46" s="8" t="s">
        <v>119</v>
      </c>
      <c r="W46" s="8" t="s">
        <v>119</v>
      </c>
      <c r="X46" s="8"/>
      <c r="Y46" s="8"/>
    </row>
    <row r="47" spans="1:25" s="2" customFormat="1" x14ac:dyDescent="0.25">
      <c r="A47" s="2" t="s">
        <v>105</v>
      </c>
      <c r="B47" s="3" t="s">
        <v>150</v>
      </c>
      <c r="C47" s="3" t="s">
        <v>17</v>
      </c>
      <c r="D47" s="3" t="s">
        <v>18</v>
      </c>
      <c r="E47" s="3">
        <v>2019</v>
      </c>
      <c r="F47" s="3">
        <v>2</v>
      </c>
      <c r="G47" s="3">
        <v>12</v>
      </c>
      <c r="H47" s="3">
        <v>46</v>
      </c>
      <c r="I47" s="2" t="s">
        <v>116</v>
      </c>
      <c r="J47" s="2">
        <v>25</v>
      </c>
      <c r="K47" s="2" t="s">
        <v>123</v>
      </c>
      <c r="L47" s="2">
        <v>3</v>
      </c>
      <c r="M47" s="2">
        <v>34</v>
      </c>
      <c r="N47" s="4">
        <v>548.5</v>
      </c>
      <c r="O47" s="4">
        <v>16.100000000000001</v>
      </c>
      <c r="P47" s="2">
        <v>2</v>
      </c>
      <c r="Q47" s="6">
        <v>43.61</v>
      </c>
      <c r="R47" s="6">
        <v>23.76</v>
      </c>
      <c r="S47" s="6">
        <f>Q47+R47</f>
        <v>67.37</v>
      </c>
      <c r="T47" s="6">
        <f t="shared" si="11"/>
        <v>37.9407</v>
      </c>
      <c r="U47" s="6">
        <f t="shared" si="11"/>
        <v>20.671200000000002</v>
      </c>
      <c r="V47" s="8" t="s">
        <v>119</v>
      </c>
      <c r="W47" s="8" t="s">
        <v>119</v>
      </c>
      <c r="X47" s="8"/>
      <c r="Y47" s="8"/>
    </row>
    <row r="48" spans="1:25" s="2" customFormat="1" x14ac:dyDescent="0.25">
      <c r="A48" s="2" t="s">
        <v>56</v>
      </c>
      <c r="B48" s="3" t="s">
        <v>150</v>
      </c>
      <c r="C48" s="3" t="s">
        <v>17</v>
      </c>
      <c r="D48" s="3" t="s">
        <v>18</v>
      </c>
      <c r="E48" s="3">
        <v>2019</v>
      </c>
      <c r="F48" s="3">
        <v>3</v>
      </c>
      <c r="G48" s="3">
        <v>12</v>
      </c>
      <c r="H48" s="3">
        <v>63</v>
      </c>
      <c r="I48" s="2" t="s">
        <v>116</v>
      </c>
      <c r="J48" s="2">
        <v>28</v>
      </c>
      <c r="K48" s="2" t="s">
        <v>123</v>
      </c>
      <c r="L48" s="8" t="s">
        <v>119</v>
      </c>
      <c r="M48" s="8" t="s">
        <v>119</v>
      </c>
      <c r="N48" s="4">
        <v>1007.9</v>
      </c>
      <c r="O48" s="4">
        <v>18.2</v>
      </c>
      <c r="P48" s="2">
        <v>2.5</v>
      </c>
      <c r="Q48" s="6">
        <v>43.38</v>
      </c>
      <c r="R48" s="6">
        <v>24.39</v>
      </c>
      <c r="S48" s="6">
        <f>Q48+R48</f>
        <v>67.77000000000001</v>
      </c>
      <c r="T48" s="6">
        <f t="shared" si="11"/>
        <v>37.740600000000001</v>
      </c>
      <c r="U48" s="6">
        <f t="shared" si="11"/>
        <v>21.2193</v>
      </c>
      <c r="V48" s="8" t="s">
        <v>119</v>
      </c>
      <c r="W48" s="8" t="s">
        <v>119</v>
      </c>
      <c r="X48" s="8"/>
      <c r="Y48" s="8"/>
    </row>
    <row r="49" spans="1:25" s="2" customFormat="1" x14ac:dyDescent="0.25">
      <c r="A49" s="2" t="s">
        <v>83</v>
      </c>
      <c r="B49" s="3" t="s">
        <v>150</v>
      </c>
      <c r="C49" s="3" t="s">
        <v>17</v>
      </c>
      <c r="D49" s="3" t="s">
        <v>18</v>
      </c>
      <c r="E49" s="3">
        <v>2019</v>
      </c>
      <c r="F49" s="3">
        <v>4</v>
      </c>
      <c r="G49" s="3">
        <v>12</v>
      </c>
      <c r="H49" s="3">
        <v>87</v>
      </c>
      <c r="I49" s="2" t="s">
        <v>116</v>
      </c>
      <c r="J49" s="8" t="s">
        <v>119</v>
      </c>
      <c r="K49" s="2" t="s">
        <v>123</v>
      </c>
      <c r="L49" s="8" t="s">
        <v>119</v>
      </c>
      <c r="M49" s="8" t="s">
        <v>119</v>
      </c>
      <c r="N49" s="4">
        <v>894.7</v>
      </c>
      <c r="O49" s="4">
        <v>16.2</v>
      </c>
      <c r="P49" s="2">
        <v>2.5</v>
      </c>
      <c r="Q49" s="8" t="s">
        <v>119</v>
      </c>
      <c r="R49" s="8" t="s">
        <v>119</v>
      </c>
      <c r="S49" s="8" t="s">
        <v>119</v>
      </c>
      <c r="T49" s="8" t="s">
        <v>119</v>
      </c>
      <c r="U49" s="8" t="s">
        <v>119</v>
      </c>
      <c r="V49" s="2" t="s">
        <v>121</v>
      </c>
      <c r="W49" s="8" t="s">
        <v>119</v>
      </c>
      <c r="X49" s="8"/>
      <c r="Y49" s="8"/>
    </row>
    <row r="50" spans="1:25" s="2" customFormat="1" x14ac:dyDescent="0.25">
      <c r="A50" s="2" t="s">
        <v>88</v>
      </c>
      <c r="B50" s="3" t="s">
        <v>151</v>
      </c>
      <c r="C50" s="3" t="s">
        <v>17</v>
      </c>
      <c r="D50" s="3" t="s">
        <v>18</v>
      </c>
      <c r="E50" s="3">
        <v>2019</v>
      </c>
      <c r="F50" s="3">
        <v>1</v>
      </c>
      <c r="G50" s="3">
        <v>13</v>
      </c>
      <c r="H50" s="3">
        <v>16</v>
      </c>
      <c r="I50" s="2" t="s">
        <v>116</v>
      </c>
      <c r="J50" s="2">
        <v>29</v>
      </c>
      <c r="K50" s="2" t="s">
        <v>123</v>
      </c>
      <c r="L50" s="2">
        <v>1.5</v>
      </c>
      <c r="M50" s="2">
        <v>20</v>
      </c>
      <c r="N50" s="4">
        <v>1090.0999999999999</v>
      </c>
      <c r="O50" s="4">
        <v>15.9</v>
      </c>
      <c r="P50" s="2">
        <v>2</v>
      </c>
      <c r="Q50" s="6">
        <v>42.05</v>
      </c>
      <c r="R50" s="6">
        <v>22.45</v>
      </c>
      <c r="S50" s="6">
        <f>Q50+R50</f>
        <v>64.5</v>
      </c>
      <c r="T50" s="6">
        <f t="shared" ref="T50:U52" si="12">Q50*0.87</f>
        <v>36.583500000000001</v>
      </c>
      <c r="U50" s="6">
        <f t="shared" si="12"/>
        <v>19.531499999999998</v>
      </c>
      <c r="V50" s="8" t="s">
        <v>119</v>
      </c>
      <c r="W50" s="8" t="s">
        <v>119</v>
      </c>
      <c r="X50" s="8"/>
      <c r="Y50" s="8"/>
    </row>
    <row r="51" spans="1:25" s="2" customFormat="1" x14ac:dyDescent="0.25">
      <c r="A51" s="2" t="s">
        <v>34</v>
      </c>
      <c r="B51" s="3" t="s">
        <v>151</v>
      </c>
      <c r="C51" s="3" t="s">
        <v>17</v>
      </c>
      <c r="D51" s="3" t="s">
        <v>18</v>
      </c>
      <c r="E51" s="3">
        <v>2019</v>
      </c>
      <c r="F51" s="3">
        <v>2</v>
      </c>
      <c r="G51" s="3">
        <v>13</v>
      </c>
      <c r="H51" s="3">
        <v>30</v>
      </c>
      <c r="I51" s="2" t="s">
        <v>116</v>
      </c>
      <c r="J51" s="2">
        <v>27</v>
      </c>
      <c r="K51" s="2" t="s">
        <v>123</v>
      </c>
      <c r="L51" s="2">
        <v>1.5</v>
      </c>
      <c r="M51" s="2">
        <v>19</v>
      </c>
      <c r="N51" s="4">
        <v>1232.9000000000001</v>
      </c>
      <c r="O51" s="4">
        <v>16.5</v>
      </c>
      <c r="P51" s="2">
        <v>2.5</v>
      </c>
      <c r="Q51" s="6">
        <v>43.03</v>
      </c>
      <c r="R51" s="6">
        <v>22.14</v>
      </c>
      <c r="S51" s="6">
        <f>Q51+R51</f>
        <v>65.17</v>
      </c>
      <c r="T51" s="6">
        <f t="shared" si="12"/>
        <v>37.436100000000003</v>
      </c>
      <c r="U51" s="6">
        <f t="shared" si="12"/>
        <v>19.261800000000001</v>
      </c>
      <c r="V51" s="8" t="s">
        <v>119</v>
      </c>
      <c r="W51" s="8" t="s">
        <v>119</v>
      </c>
      <c r="X51" s="8"/>
      <c r="Y51" s="8"/>
    </row>
    <row r="52" spans="1:25" s="2" customFormat="1" x14ac:dyDescent="0.25">
      <c r="A52" s="2" t="s">
        <v>26</v>
      </c>
      <c r="B52" s="3" t="s">
        <v>151</v>
      </c>
      <c r="C52" s="3" t="s">
        <v>17</v>
      </c>
      <c r="D52" s="3" t="s">
        <v>18</v>
      </c>
      <c r="E52" s="3">
        <v>2019</v>
      </c>
      <c r="F52" s="3">
        <v>3</v>
      </c>
      <c r="G52" s="3">
        <v>13</v>
      </c>
      <c r="H52" s="3">
        <v>61</v>
      </c>
      <c r="I52" s="2" t="s">
        <v>116</v>
      </c>
      <c r="J52" s="2">
        <v>27</v>
      </c>
      <c r="K52" s="2" t="s">
        <v>123</v>
      </c>
      <c r="L52" s="8" t="s">
        <v>119</v>
      </c>
      <c r="M52" s="8" t="s">
        <v>119</v>
      </c>
      <c r="N52" s="4">
        <v>1647.5</v>
      </c>
      <c r="O52" s="4">
        <v>16.100000000000001</v>
      </c>
      <c r="P52" s="2">
        <v>2</v>
      </c>
      <c r="Q52" s="6">
        <v>41.12</v>
      </c>
      <c r="R52" s="6">
        <v>22.54</v>
      </c>
      <c r="S52" s="6">
        <f>Q52+R52</f>
        <v>63.66</v>
      </c>
      <c r="T52" s="6">
        <f t="shared" si="12"/>
        <v>35.7744</v>
      </c>
      <c r="U52" s="6">
        <f t="shared" si="12"/>
        <v>19.6098</v>
      </c>
      <c r="V52" s="8" t="s">
        <v>119</v>
      </c>
      <c r="W52" s="8" t="s">
        <v>119</v>
      </c>
      <c r="X52" s="8"/>
      <c r="Y52" s="8"/>
    </row>
    <row r="53" spans="1:25" s="2" customFormat="1" x14ac:dyDescent="0.25">
      <c r="A53" s="2" t="s">
        <v>108</v>
      </c>
      <c r="B53" s="3" t="s">
        <v>151</v>
      </c>
      <c r="C53" s="3" t="s">
        <v>17</v>
      </c>
      <c r="D53" s="3" t="s">
        <v>18</v>
      </c>
      <c r="E53" s="3">
        <v>2019</v>
      </c>
      <c r="F53" s="3">
        <v>4</v>
      </c>
      <c r="G53" s="3">
        <v>13</v>
      </c>
      <c r="H53" s="3">
        <v>86</v>
      </c>
      <c r="I53" s="2" t="s">
        <v>116</v>
      </c>
      <c r="J53" s="8" t="s">
        <v>119</v>
      </c>
      <c r="K53" s="2" t="s">
        <v>123</v>
      </c>
      <c r="L53" s="8" t="s">
        <v>119</v>
      </c>
      <c r="M53" s="8" t="s">
        <v>119</v>
      </c>
      <c r="N53" s="4">
        <v>926.4</v>
      </c>
      <c r="O53" s="4">
        <v>16</v>
      </c>
      <c r="P53" s="2">
        <v>2.5</v>
      </c>
      <c r="Q53" s="8" t="s">
        <v>119</v>
      </c>
      <c r="R53" s="8" t="s">
        <v>119</v>
      </c>
      <c r="S53" s="8" t="s">
        <v>119</v>
      </c>
      <c r="T53" s="8" t="s">
        <v>119</v>
      </c>
      <c r="U53" s="8" t="s">
        <v>119</v>
      </c>
      <c r="V53" s="8" t="s">
        <v>119</v>
      </c>
      <c r="W53" s="8" t="s">
        <v>119</v>
      </c>
      <c r="X53" s="8"/>
      <c r="Y53" s="8"/>
    </row>
    <row r="54" spans="1:25" s="2" customFormat="1" x14ac:dyDescent="0.25">
      <c r="A54" s="2" t="s">
        <v>95</v>
      </c>
      <c r="B54" s="3" t="s">
        <v>152</v>
      </c>
      <c r="C54" s="3" t="s">
        <v>17</v>
      </c>
      <c r="D54" s="3" t="s">
        <v>18</v>
      </c>
      <c r="E54" s="3">
        <v>2019</v>
      </c>
      <c r="F54" s="3">
        <v>1</v>
      </c>
      <c r="G54" s="3">
        <v>14</v>
      </c>
      <c r="H54" s="3">
        <v>17</v>
      </c>
      <c r="I54" s="2" t="s">
        <v>117</v>
      </c>
      <c r="J54" s="2">
        <v>20</v>
      </c>
      <c r="K54" s="2" t="s">
        <v>122</v>
      </c>
      <c r="L54" s="2">
        <v>1</v>
      </c>
      <c r="M54" s="2">
        <v>27</v>
      </c>
      <c r="N54" s="4">
        <v>672.7</v>
      </c>
      <c r="O54" s="4">
        <v>17.5</v>
      </c>
      <c r="P54" s="2">
        <v>2</v>
      </c>
      <c r="Q54" s="6">
        <v>51.39</v>
      </c>
      <c r="R54" s="6">
        <v>20.420000000000002</v>
      </c>
      <c r="S54" s="6">
        <f>Q54+R54</f>
        <v>71.81</v>
      </c>
      <c r="T54" s="6">
        <f t="shared" ref="T54:U56" si="13">Q54*0.87</f>
        <v>44.709299999999999</v>
      </c>
      <c r="U54" s="6">
        <f t="shared" si="13"/>
        <v>17.7654</v>
      </c>
      <c r="V54" s="8" t="s">
        <v>119</v>
      </c>
      <c r="W54" s="8" t="s">
        <v>119</v>
      </c>
      <c r="X54" s="8"/>
      <c r="Y54" s="8"/>
    </row>
    <row r="55" spans="1:25" s="2" customFormat="1" x14ac:dyDescent="0.25">
      <c r="A55" s="2" t="s">
        <v>93</v>
      </c>
      <c r="B55" s="3" t="s">
        <v>152</v>
      </c>
      <c r="C55" s="3" t="s">
        <v>17</v>
      </c>
      <c r="D55" s="3" t="s">
        <v>18</v>
      </c>
      <c r="E55" s="3">
        <v>2019</v>
      </c>
      <c r="F55" s="3">
        <v>2</v>
      </c>
      <c r="G55" s="3">
        <v>14</v>
      </c>
      <c r="H55" s="3">
        <v>26</v>
      </c>
      <c r="I55" s="2" t="s">
        <v>117</v>
      </c>
      <c r="J55" s="2">
        <v>20</v>
      </c>
      <c r="K55" s="2" t="s">
        <v>122</v>
      </c>
      <c r="L55" s="2">
        <v>1</v>
      </c>
      <c r="M55" s="2">
        <v>26</v>
      </c>
      <c r="N55" s="4">
        <v>677.8</v>
      </c>
      <c r="O55" s="4">
        <v>15.3</v>
      </c>
      <c r="P55" s="2">
        <v>1.5</v>
      </c>
      <c r="Q55" s="6">
        <v>50.31</v>
      </c>
      <c r="R55" s="6">
        <v>21.13</v>
      </c>
      <c r="S55" s="6">
        <f>Q55+R55</f>
        <v>71.44</v>
      </c>
      <c r="T55" s="6">
        <f t="shared" si="13"/>
        <v>43.7697</v>
      </c>
      <c r="U55" s="6">
        <f t="shared" si="13"/>
        <v>18.383099999999999</v>
      </c>
      <c r="V55" s="8" t="s">
        <v>119</v>
      </c>
      <c r="W55" s="8" t="s">
        <v>119</v>
      </c>
      <c r="X55" s="8"/>
      <c r="Y55" s="8"/>
    </row>
    <row r="56" spans="1:25" s="2" customFormat="1" x14ac:dyDescent="0.25">
      <c r="A56" s="2" t="s">
        <v>36</v>
      </c>
      <c r="B56" s="3" t="s">
        <v>152</v>
      </c>
      <c r="C56" s="3" t="s">
        <v>17</v>
      </c>
      <c r="D56" s="3" t="s">
        <v>18</v>
      </c>
      <c r="E56" s="3">
        <v>2019</v>
      </c>
      <c r="F56" s="3">
        <v>3</v>
      </c>
      <c r="G56" s="3">
        <v>14</v>
      </c>
      <c r="H56" s="3">
        <v>72</v>
      </c>
      <c r="I56" s="2" t="s">
        <v>117</v>
      </c>
      <c r="J56" s="2">
        <v>26</v>
      </c>
      <c r="K56" s="2" t="s">
        <v>122</v>
      </c>
      <c r="L56" s="8" t="s">
        <v>119</v>
      </c>
      <c r="M56" s="8" t="s">
        <v>119</v>
      </c>
      <c r="N56" s="4">
        <v>1033.0999999999999</v>
      </c>
      <c r="O56" s="4">
        <v>18.100000000000001</v>
      </c>
      <c r="P56" s="2">
        <v>2.5</v>
      </c>
      <c r="Q56" s="6">
        <v>50.07</v>
      </c>
      <c r="R56" s="6">
        <v>20.55</v>
      </c>
      <c r="S56" s="6">
        <f>Q56+R56</f>
        <v>70.62</v>
      </c>
      <c r="T56" s="6">
        <f t="shared" si="13"/>
        <v>43.560899999999997</v>
      </c>
      <c r="U56" s="6">
        <f t="shared" si="13"/>
        <v>17.878499999999999</v>
      </c>
      <c r="V56" s="8" t="s">
        <v>119</v>
      </c>
      <c r="W56" s="8" t="s">
        <v>119</v>
      </c>
      <c r="X56" s="8"/>
      <c r="Y56" s="8"/>
    </row>
    <row r="57" spans="1:25" s="2" customFormat="1" x14ac:dyDescent="0.25">
      <c r="A57" s="2" t="s">
        <v>73</v>
      </c>
      <c r="B57" s="3" t="s">
        <v>152</v>
      </c>
      <c r="C57" s="3" t="s">
        <v>17</v>
      </c>
      <c r="D57" s="3" t="s">
        <v>18</v>
      </c>
      <c r="E57" s="3">
        <v>2019</v>
      </c>
      <c r="F57" s="3">
        <v>4</v>
      </c>
      <c r="G57" s="3">
        <v>14</v>
      </c>
      <c r="H57" s="3">
        <v>93</v>
      </c>
      <c r="I57" s="2" t="s">
        <v>117</v>
      </c>
      <c r="J57" s="8" t="s">
        <v>119</v>
      </c>
      <c r="K57" s="2" t="s">
        <v>122</v>
      </c>
      <c r="L57" s="8" t="s">
        <v>119</v>
      </c>
      <c r="M57" s="8" t="s">
        <v>119</v>
      </c>
      <c r="N57" s="4">
        <v>1374.2</v>
      </c>
      <c r="O57" s="4">
        <v>19.100000000000001</v>
      </c>
      <c r="P57" s="2">
        <v>2</v>
      </c>
      <c r="Q57" s="8" t="s">
        <v>119</v>
      </c>
      <c r="R57" s="8" t="s">
        <v>119</v>
      </c>
      <c r="S57" s="8" t="s">
        <v>119</v>
      </c>
      <c r="T57" s="8" t="s">
        <v>119</v>
      </c>
      <c r="U57" s="8" t="s">
        <v>119</v>
      </c>
      <c r="V57" s="8" t="s">
        <v>119</v>
      </c>
      <c r="W57" s="8" t="s">
        <v>119</v>
      </c>
      <c r="X57" s="8"/>
      <c r="Y57" s="8"/>
    </row>
    <row r="58" spans="1:25" s="2" customFormat="1" x14ac:dyDescent="0.25">
      <c r="A58" s="2" t="s">
        <v>90</v>
      </c>
      <c r="B58" s="3" t="s">
        <v>153</v>
      </c>
      <c r="C58" s="3" t="s">
        <v>17</v>
      </c>
      <c r="D58" s="3" t="s">
        <v>18</v>
      </c>
      <c r="E58" s="3">
        <v>2019</v>
      </c>
      <c r="F58" s="3">
        <v>1</v>
      </c>
      <c r="G58" s="3">
        <v>15</v>
      </c>
      <c r="H58" s="3">
        <v>25</v>
      </c>
      <c r="I58" s="2" t="s">
        <v>116</v>
      </c>
      <c r="J58" s="2">
        <v>26</v>
      </c>
      <c r="K58" s="2" t="s">
        <v>122</v>
      </c>
      <c r="L58" s="2">
        <v>1</v>
      </c>
      <c r="M58" s="2">
        <v>19</v>
      </c>
      <c r="N58" s="4">
        <v>1101.5999999999999</v>
      </c>
      <c r="O58" s="4">
        <v>13</v>
      </c>
      <c r="P58" s="2">
        <v>1.5</v>
      </c>
      <c r="Q58" s="6">
        <v>42.53</v>
      </c>
      <c r="R58" s="6">
        <v>23.47</v>
      </c>
      <c r="S58" s="6">
        <f>Q58+R58</f>
        <v>66</v>
      </c>
      <c r="T58" s="6">
        <f t="shared" ref="T58:U60" si="14">Q58*0.87</f>
        <v>37.001100000000001</v>
      </c>
      <c r="U58" s="6">
        <f t="shared" si="14"/>
        <v>20.418899999999997</v>
      </c>
      <c r="V58" s="8" t="s">
        <v>119</v>
      </c>
      <c r="W58" s="8" t="s">
        <v>119</v>
      </c>
      <c r="X58" s="8"/>
      <c r="Y58" s="8"/>
    </row>
    <row r="59" spans="1:25" s="2" customFormat="1" x14ac:dyDescent="0.25">
      <c r="A59" s="2" t="s">
        <v>51</v>
      </c>
      <c r="B59" s="3" t="s">
        <v>153</v>
      </c>
      <c r="C59" s="3" t="s">
        <v>17</v>
      </c>
      <c r="D59" s="3" t="s">
        <v>18</v>
      </c>
      <c r="E59" s="3">
        <v>2019</v>
      </c>
      <c r="F59" s="3">
        <v>2</v>
      </c>
      <c r="G59" s="3">
        <v>15</v>
      </c>
      <c r="H59" s="3">
        <v>42</v>
      </c>
      <c r="I59" s="2" t="s">
        <v>116</v>
      </c>
      <c r="J59" s="2">
        <v>26</v>
      </c>
      <c r="K59" s="2" t="s">
        <v>122</v>
      </c>
      <c r="L59" s="2">
        <v>1</v>
      </c>
      <c r="M59" s="2">
        <v>16</v>
      </c>
      <c r="N59" s="4">
        <v>952</v>
      </c>
      <c r="O59" s="4">
        <v>14.3</v>
      </c>
      <c r="P59" s="2">
        <v>2</v>
      </c>
      <c r="Q59" s="6">
        <v>42.91</v>
      </c>
      <c r="R59" s="6">
        <v>23.49</v>
      </c>
      <c r="S59" s="6">
        <f>Q59+R59</f>
        <v>66.399999999999991</v>
      </c>
      <c r="T59" s="6">
        <f t="shared" si="14"/>
        <v>37.331699999999998</v>
      </c>
      <c r="U59" s="6">
        <f t="shared" si="14"/>
        <v>20.436299999999999</v>
      </c>
      <c r="V59" s="8" t="s">
        <v>119</v>
      </c>
      <c r="W59" s="8" t="s">
        <v>119</v>
      </c>
      <c r="X59" s="8"/>
      <c r="Y59" s="8"/>
    </row>
    <row r="60" spans="1:25" s="2" customFormat="1" x14ac:dyDescent="0.25">
      <c r="A60" s="2" t="s">
        <v>22</v>
      </c>
      <c r="B60" s="3" t="s">
        <v>153</v>
      </c>
      <c r="C60" s="3" t="s">
        <v>17</v>
      </c>
      <c r="D60" s="3" t="s">
        <v>18</v>
      </c>
      <c r="E60" s="3">
        <v>2019</v>
      </c>
      <c r="F60" s="3">
        <v>3</v>
      </c>
      <c r="G60" s="3">
        <v>15</v>
      </c>
      <c r="H60" s="3">
        <v>60</v>
      </c>
      <c r="I60" s="2" t="s">
        <v>116</v>
      </c>
      <c r="J60" s="2">
        <v>30</v>
      </c>
      <c r="K60" s="2" t="s">
        <v>124</v>
      </c>
      <c r="L60" s="8" t="s">
        <v>119</v>
      </c>
      <c r="M60" s="8" t="s">
        <v>119</v>
      </c>
      <c r="N60" s="4">
        <v>1470</v>
      </c>
      <c r="O60" s="4">
        <v>14.2</v>
      </c>
      <c r="P60" s="2">
        <v>2</v>
      </c>
      <c r="Q60" s="6">
        <v>42.3</v>
      </c>
      <c r="R60" s="6">
        <v>23.67</v>
      </c>
      <c r="S60" s="6">
        <f>Q60+R60</f>
        <v>65.97</v>
      </c>
      <c r="T60" s="6">
        <f t="shared" si="14"/>
        <v>36.800999999999995</v>
      </c>
      <c r="U60" s="6">
        <f t="shared" si="14"/>
        <v>20.5929</v>
      </c>
      <c r="V60" s="8" t="s">
        <v>119</v>
      </c>
      <c r="W60" s="8" t="s">
        <v>119</v>
      </c>
      <c r="X60" s="8"/>
      <c r="Y60" s="8"/>
    </row>
    <row r="61" spans="1:25" s="2" customFormat="1" x14ac:dyDescent="0.25">
      <c r="A61" s="2" t="s">
        <v>45</v>
      </c>
      <c r="B61" s="3" t="s">
        <v>153</v>
      </c>
      <c r="C61" s="3" t="s">
        <v>17</v>
      </c>
      <c r="D61" s="3" t="s">
        <v>18</v>
      </c>
      <c r="E61" s="3">
        <v>2019</v>
      </c>
      <c r="F61" s="3">
        <v>4</v>
      </c>
      <c r="G61" s="3">
        <v>15</v>
      </c>
      <c r="H61" s="3">
        <v>91</v>
      </c>
      <c r="I61" s="2" t="s">
        <v>116</v>
      </c>
      <c r="J61" s="8" t="s">
        <v>119</v>
      </c>
      <c r="K61" s="2" t="s">
        <v>124</v>
      </c>
      <c r="L61" s="8" t="s">
        <v>119</v>
      </c>
      <c r="M61" s="8" t="s">
        <v>119</v>
      </c>
      <c r="N61" s="4">
        <v>1449</v>
      </c>
      <c r="O61" s="4">
        <v>13.8</v>
      </c>
      <c r="P61" s="2">
        <v>2.5</v>
      </c>
      <c r="Q61" s="8" t="s">
        <v>119</v>
      </c>
      <c r="R61" s="8" t="s">
        <v>119</v>
      </c>
      <c r="S61" s="8" t="s">
        <v>119</v>
      </c>
      <c r="T61" s="8" t="s">
        <v>119</v>
      </c>
      <c r="U61" s="8" t="s">
        <v>119</v>
      </c>
      <c r="V61" s="8" t="s">
        <v>119</v>
      </c>
      <c r="W61" s="8" t="s">
        <v>119</v>
      </c>
      <c r="X61" s="8"/>
      <c r="Y61" s="8"/>
    </row>
    <row r="62" spans="1:25" s="2" customFormat="1" x14ac:dyDescent="0.25">
      <c r="A62" s="2" t="s">
        <v>16</v>
      </c>
      <c r="B62" s="3" t="s">
        <v>154</v>
      </c>
      <c r="C62" s="3" t="s">
        <v>17</v>
      </c>
      <c r="D62" s="3" t="s">
        <v>18</v>
      </c>
      <c r="E62" s="3">
        <v>2019</v>
      </c>
      <c r="F62" s="3">
        <v>1</v>
      </c>
      <c r="G62" s="3">
        <v>16</v>
      </c>
      <c r="H62" s="3">
        <v>1</v>
      </c>
      <c r="I62" s="2" t="s">
        <v>116</v>
      </c>
      <c r="J62" s="2">
        <v>30</v>
      </c>
      <c r="K62" s="2" t="s">
        <v>122</v>
      </c>
      <c r="L62" s="2">
        <v>1</v>
      </c>
      <c r="M62" s="2">
        <v>14</v>
      </c>
      <c r="N62" s="4">
        <v>970.4</v>
      </c>
      <c r="O62" s="4">
        <v>13.9</v>
      </c>
      <c r="P62" s="2">
        <v>2.5</v>
      </c>
      <c r="Q62" s="6">
        <v>42.35</v>
      </c>
      <c r="R62" s="6">
        <v>23.07</v>
      </c>
      <c r="S62" s="6">
        <f>Q62+R62</f>
        <v>65.42</v>
      </c>
      <c r="T62" s="6">
        <f t="shared" ref="T62:U64" si="15">Q62*0.87</f>
        <v>36.844500000000004</v>
      </c>
      <c r="U62" s="6">
        <f t="shared" si="15"/>
        <v>20.070900000000002</v>
      </c>
      <c r="V62" s="8" t="s">
        <v>119</v>
      </c>
      <c r="W62" s="8" t="s">
        <v>119</v>
      </c>
      <c r="X62" s="8"/>
      <c r="Y62" s="8"/>
    </row>
    <row r="63" spans="1:25" s="2" customFormat="1" x14ac:dyDescent="0.25">
      <c r="A63" s="2" t="s">
        <v>72</v>
      </c>
      <c r="B63" s="3" t="s">
        <v>154</v>
      </c>
      <c r="C63" s="3" t="s">
        <v>17</v>
      </c>
      <c r="D63" s="3" t="s">
        <v>18</v>
      </c>
      <c r="E63" s="3">
        <v>2019</v>
      </c>
      <c r="F63" s="3">
        <v>2</v>
      </c>
      <c r="G63" s="3">
        <v>16</v>
      </c>
      <c r="H63" s="3">
        <v>43</v>
      </c>
      <c r="I63" s="2" t="s">
        <v>116</v>
      </c>
      <c r="J63" s="2">
        <v>22</v>
      </c>
      <c r="K63" s="2" t="s">
        <v>122</v>
      </c>
      <c r="L63" s="2">
        <v>1</v>
      </c>
      <c r="M63" s="2">
        <v>16</v>
      </c>
      <c r="N63" s="4">
        <v>650.29999999999995</v>
      </c>
      <c r="O63" s="4">
        <v>14.1</v>
      </c>
      <c r="P63" s="2">
        <v>2</v>
      </c>
      <c r="Q63" s="6">
        <v>43.68</v>
      </c>
      <c r="R63" s="6">
        <v>23.45</v>
      </c>
      <c r="S63" s="6">
        <f>Q63+R63</f>
        <v>67.13</v>
      </c>
      <c r="T63" s="6">
        <f t="shared" si="15"/>
        <v>38.001599999999996</v>
      </c>
      <c r="U63" s="6">
        <f t="shared" si="15"/>
        <v>20.401499999999999</v>
      </c>
      <c r="V63" s="2" t="s">
        <v>121</v>
      </c>
      <c r="W63" s="8" t="s">
        <v>119</v>
      </c>
      <c r="X63" s="8"/>
      <c r="Y63" s="8"/>
    </row>
    <row r="64" spans="1:25" s="2" customFormat="1" x14ac:dyDescent="0.25">
      <c r="A64" s="2" t="s">
        <v>50</v>
      </c>
      <c r="B64" s="3" t="s">
        <v>154</v>
      </c>
      <c r="C64" s="3" t="s">
        <v>17</v>
      </c>
      <c r="D64" s="3" t="s">
        <v>18</v>
      </c>
      <c r="E64" s="3">
        <v>2019</v>
      </c>
      <c r="F64" s="3">
        <v>3</v>
      </c>
      <c r="G64" s="3">
        <v>16</v>
      </c>
      <c r="H64" s="3">
        <v>53</v>
      </c>
      <c r="I64" s="2" t="s">
        <v>116</v>
      </c>
      <c r="J64" s="2">
        <v>24</v>
      </c>
      <c r="K64" s="2" t="s">
        <v>122</v>
      </c>
      <c r="L64" s="8" t="s">
        <v>119</v>
      </c>
      <c r="M64" s="8" t="s">
        <v>119</v>
      </c>
      <c r="N64" s="4">
        <v>1044.7</v>
      </c>
      <c r="O64" s="4">
        <v>14.6</v>
      </c>
      <c r="P64" s="2">
        <v>1.5</v>
      </c>
      <c r="Q64" s="6">
        <v>42.48</v>
      </c>
      <c r="R64" s="6">
        <v>24.27</v>
      </c>
      <c r="S64" s="6">
        <f>Q64+R64</f>
        <v>66.75</v>
      </c>
      <c r="T64" s="6">
        <f t="shared" si="15"/>
        <v>36.957599999999999</v>
      </c>
      <c r="U64" s="6">
        <f t="shared" si="15"/>
        <v>21.114899999999999</v>
      </c>
      <c r="V64" s="8" t="s">
        <v>119</v>
      </c>
      <c r="W64" s="8" t="s">
        <v>119</v>
      </c>
      <c r="X64" s="8"/>
      <c r="Y64" s="8"/>
    </row>
    <row r="65" spans="1:25" s="2" customFormat="1" x14ac:dyDescent="0.25">
      <c r="A65" s="2" t="s">
        <v>30</v>
      </c>
      <c r="B65" s="3" t="s">
        <v>154</v>
      </c>
      <c r="C65" s="3" t="s">
        <v>17</v>
      </c>
      <c r="D65" s="3" t="s">
        <v>18</v>
      </c>
      <c r="E65" s="3">
        <v>2019</v>
      </c>
      <c r="F65" s="3">
        <v>4</v>
      </c>
      <c r="G65" s="3">
        <v>16</v>
      </c>
      <c r="H65" s="3">
        <v>82</v>
      </c>
      <c r="I65" s="2" t="s">
        <v>116</v>
      </c>
      <c r="J65" s="8" t="s">
        <v>119</v>
      </c>
      <c r="K65" s="2" t="s">
        <v>122</v>
      </c>
      <c r="L65" s="8" t="s">
        <v>119</v>
      </c>
      <c r="M65" s="8" t="s">
        <v>119</v>
      </c>
      <c r="N65" s="4">
        <v>965.2</v>
      </c>
      <c r="O65" s="4">
        <v>14.8</v>
      </c>
      <c r="P65" s="2">
        <v>2.5</v>
      </c>
      <c r="Q65" s="8" t="s">
        <v>119</v>
      </c>
      <c r="R65" s="8" t="s">
        <v>119</v>
      </c>
      <c r="S65" s="8" t="s">
        <v>119</v>
      </c>
      <c r="T65" s="8" t="s">
        <v>119</v>
      </c>
      <c r="U65" s="8" t="s">
        <v>119</v>
      </c>
      <c r="V65" s="2" t="s">
        <v>118</v>
      </c>
      <c r="W65" s="8" t="s">
        <v>119</v>
      </c>
      <c r="X65" s="8"/>
      <c r="Y65" s="8"/>
    </row>
    <row r="66" spans="1:25" s="2" customFormat="1" x14ac:dyDescent="0.25">
      <c r="A66" s="2" t="s">
        <v>58</v>
      </c>
      <c r="B66" s="3" t="s">
        <v>155</v>
      </c>
      <c r="C66" s="3" t="s">
        <v>17</v>
      </c>
      <c r="D66" s="3" t="s">
        <v>18</v>
      </c>
      <c r="E66" s="3">
        <v>2019</v>
      </c>
      <c r="F66" s="3">
        <v>1</v>
      </c>
      <c r="G66" s="3">
        <v>17</v>
      </c>
      <c r="H66" s="3">
        <v>18</v>
      </c>
      <c r="I66" s="2" t="s">
        <v>116</v>
      </c>
      <c r="J66" s="2">
        <v>25</v>
      </c>
      <c r="K66" s="2" t="s">
        <v>123</v>
      </c>
      <c r="L66" s="2">
        <v>1.5</v>
      </c>
      <c r="M66" s="2">
        <v>38</v>
      </c>
      <c r="N66" s="4">
        <v>914</v>
      </c>
      <c r="O66" s="4">
        <v>15.7</v>
      </c>
      <c r="P66" s="2">
        <v>2</v>
      </c>
      <c r="Q66" s="6">
        <v>47.19</v>
      </c>
      <c r="R66" s="6">
        <v>20.45</v>
      </c>
      <c r="S66" s="6">
        <f>Q66+R66</f>
        <v>67.64</v>
      </c>
      <c r="T66" s="6">
        <f t="shared" ref="T66:U68" si="16">Q66*0.87</f>
        <v>41.055299999999995</v>
      </c>
      <c r="U66" s="6">
        <f t="shared" si="16"/>
        <v>17.791499999999999</v>
      </c>
      <c r="V66" s="8" t="s">
        <v>119</v>
      </c>
      <c r="W66" s="8" t="s">
        <v>119</v>
      </c>
      <c r="X66" s="8"/>
      <c r="Y66" s="8"/>
    </row>
    <row r="67" spans="1:25" s="2" customFormat="1" x14ac:dyDescent="0.25">
      <c r="A67" s="2" t="s">
        <v>48</v>
      </c>
      <c r="B67" s="3" t="s">
        <v>155</v>
      </c>
      <c r="C67" s="3" t="s">
        <v>17</v>
      </c>
      <c r="D67" s="3" t="s">
        <v>18</v>
      </c>
      <c r="E67" s="3">
        <v>2019</v>
      </c>
      <c r="F67" s="3">
        <v>2</v>
      </c>
      <c r="G67" s="3">
        <v>17</v>
      </c>
      <c r="H67" s="3">
        <v>49</v>
      </c>
      <c r="I67" s="2" t="s">
        <v>116</v>
      </c>
      <c r="J67" s="2">
        <v>25</v>
      </c>
      <c r="K67" s="2" t="s">
        <v>123</v>
      </c>
      <c r="L67" s="2">
        <v>1.5</v>
      </c>
      <c r="M67" s="2">
        <v>34</v>
      </c>
      <c r="N67" s="4">
        <v>899.7</v>
      </c>
      <c r="O67" s="4">
        <v>17.5</v>
      </c>
      <c r="P67" s="2">
        <v>2</v>
      </c>
      <c r="Q67" s="6">
        <v>49.42</v>
      </c>
      <c r="R67" s="6">
        <v>19.760000000000002</v>
      </c>
      <c r="S67" s="6">
        <f>Q67+R67</f>
        <v>69.180000000000007</v>
      </c>
      <c r="T67" s="6">
        <f t="shared" si="16"/>
        <v>42.995400000000004</v>
      </c>
      <c r="U67" s="6">
        <f t="shared" si="16"/>
        <v>17.191200000000002</v>
      </c>
      <c r="V67" s="8" t="s">
        <v>119</v>
      </c>
      <c r="W67" s="8" t="s">
        <v>119</v>
      </c>
      <c r="X67" s="8"/>
      <c r="Y67" s="8"/>
    </row>
    <row r="68" spans="1:25" s="2" customFormat="1" x14ac:dyDescent="0.25">
      <c r="A68" s="2" t="s">
        <v>62</v>
      </c>
      <c r="B68" s="3" t="s">
        <v>155</v>
      </c>
      <c r="C68" s="3" t="s">
        <v>17</v>
      </c>
      <c r="D68" s="3" t="s">
        <v>18</v>
      </c>
      <c r="E68" s="3">
        <v>2019</v>
      </c>
      <c r="F68" s="3">
        <v>3</v>
      </c>
      <c r="G68" s="3">
        <v>17</v>
      </c>
      <c r="H68" s="3">
        <v>73</v>
      </c>
      <c r="I68" s="2" t="s">
        <v>116</v>
      </c>
      <c r="J68" s="2">
        <v>30</v>
      </c>
      <c r="K68" s="2" t="s">
        <v>123</v>
      </c>
      <c r="L68" s="8" t="s">
        <v>119</v>
      </c>
      <c r="M68" s="8" t="s">
        <v>119</v>
      </c>
      <c r="N68" s="4">
        <v>1498.5</v>
      </c>
      <c r="O68" s="4">
        <v>18.399999999999999</v>
      </c>
      <c r="P68" s="2">
        <v>2</v>
      </c>
      <c r="Q68" s="6">
        <v>48.97</v>
      </c>
      <c r="R68" s="6">
        <v>20.64</v>
      </c>
      <c r="S68" s="6">
        <f>Q68+R68</f>
        <v>69.61</v>
      </c>
      <c r="T68" s="6">
        <f t="shared" si="16"/>
        <v>42.603899999999996</v>
      </c>
      <c r="U68" s="6">
        <f t="shared" si="16"/>
        <v>17.956800000000001</v>
      </c>
      <c r="V68" s="8" t="s">
        <v>119</v>
      </c>
      <c r="W68" s="8" t="s">
        <v>119</v>
      </c>
      <c r="X68" s="8"/>
      <c r="Y68" s="8"/>
    </row>
    <row r="69" spans="1:25" s="2" customFormat="1" x14ac:dyDescent="0.25">
      <c r="A69" s="2" t="s">
        <v>76</v>
      </c>
      <c r="B69" s="3" t="s">
        <v>155</v>
      </c>
      <c r="C69" s="3" t="s">
        <v>17</v>
      </c>
      <c r="D69" s="3" t="s">
        <v>18</v>
      </c>
      <c r="E69" s="3">
        <v>2019</v>
      </c>
      <c r="F69" s="3">
        <v>4</v>
      </c>
      <c r="G69" s="3">
        <v>17</v>
      </c>
      <c r="H69" s="3">
        <v>98</v>
      </c>
      <c r="I69" s="2" t="s">
        <v>116</v>
      </c>
      <c r="J69" s="8" t="s">
        <v>119</v>
      </c>
      <c r="K69" s="2" t="s">
        <v>123</v>
      </c>
      <c r="L69" s="8" t="s">
        <v>119</v>
      </c>
      <c r="M69" s="8" t="s">
        <v>119</v>
      </c>
      <c r="N69" s="4">
        <v>1581.9</v>
      </c>
      <c r="O69" s="4">
        <v>16.7</v>
      </c>
      <c r="P69" s="2">
        <v>2</v>
      </c>
      <c r="Q69" s="8" t="s">
        <v>119</v>
      </c>
      <c r="R69" s="8" t="s">
        <v>119</v>
      </c>
      <c r="S69" s="8" t="s">
        <v>119</v>
      </c>
      <c r="T69" s="8" t="s">
        <v>119</v>
      </c>
      <c r="U69" s="8" t="s">
        <v>119</v>
      </c>
      <c r="V69" s="8" t="s">
        <v>119</v>
      </c>
      <c r="W69" s="8" t="s">
        <v>119</v>
      </c>
      <c r="X69" s="8"/>
      <c r="Y69" s="8"/>
    </row>
    <row r="70" spans="1:25" s="2" customFormat="1" x14ac:dyDescent="0.25">
      <c r="A70" s="2" t="s">
        <v>98</v>
      </c>
      <c r="B70" s="3" t="s">
        <v>156</v>
      </c>
      <c r="C70" s="3" t="s">
        <v>17</v>
      </c>
      <c r="D70" s="3" t="s">
        <v>18</v>
      </c>
      <c r="E70" s="3">
        <v>2019</v>
      </c>
      <c r="F70" s="3">
        <v>1</v>
      </c>
      <c r="G70" s="3">
        <v>18</v>
      </c>
      <c r="H70" s="3">
        <v>14</v>
      </c>
      <c r="I70" s="2" t="s">
        <v>116</v>
      </c>
      <c r="J70" s="2">
        <v>27</v>
      </c>
      <c r="K70" s="2" t="s">
        <v>123</v>
      </c>
      <c r="L70" s="2">
        <v>1</v>
      </c>
      <c r="M70" s="2">
        <v>18</v>
      </c>
      <c r="N70" s="4">
        <v>338.1</v>
      </c>
      <c r="O70" s="4">
        <v>15.9</v>
      </c>
      <c r="P70" s="2">
        <v>2</v>
      </c>
      <c r="Q70" s="6">
        <v>45.02</v>
      </c>
      <c r="R70" s="6">
        <v>23.78</v>
      </c>
      <c r="S70" s="6">
        <f>Q70+R70</f>
        <v>68.800000000000011</v>
      </c>
      <c r="T70" s="6">
        <f t="shared" ref="T70:U72" si="17">Q70*0.87</f>
        <v>39.167400000000001</v>
      </c>
      <c r="U70" s="6">
        <f t="shared" si="17"/>
        <v>20.688600000000001</v>
      </c>
      <c r="V70" s="2" t="s">
        <v>121</v>
      </c>
      <c r="W70" s="8" t="s">
        <v>119</v>
      </c>
      <c r="X70" s="8"/>
      <c r="Y70" s="8"/>
    </row>
    <row r="71" spans="1:25" s="2" customFormat="1" x14ac:dyDescent="0.25">
      <c r="A71" s="2" t="s">
        <v>84</v>
      </c>
      <c r="B71" s="3" t="s">
        <v>156</v>
      </c>
      <c r="C71" s="3" t="s">
        <v>17</v>
      </c>
      <c r="D71" s="3" t="s">
        <v>18</v>
      </c>
      <c r="E71" s="3">
        <v>2019</v>
      </c>
      <c r="F71" s="3">
        <v>2</v>
      </c>
      <c r="G71" s="3">
        <v>18</v>
      </c>
      <c r="H71" s="3">
        <v>37</v>
      </c>
      <c r="I71" s="2" t="s">
        <v>116</v>
      </c>
      <c r="J71" s="2">
        <v>26</v>
      </c>
      <c r="K71" s="2" t="s">
        <v>123</v>
      </c>
      <c r="L71" s="2">
        <v>1</v>
      </c>
      <c r="M71" s="2">
        <v>18</v>
      </c>
      <c r="N71" s="4">
        <v>453.5</v>
      </c>
      <c r="O71" s="4">
        <v>17.2</v>
      </c>
      <c r="P71" s="2">
        <v>2.5</v>
      </c>
      <c r="Q71" s="6">
        <v>43.48</v>
      </c>
      <c r="R71" s="6">
        <v>24.16</v>
      </c>
      <c r="S71" s="6">
        <f>Q71+R71</f>
        <v>67.64</v>
      </c>
      <c r="T71" s="6">
        <f t="shared" si="17"/>
        <v>37.827599999999997</v>
      </c>
      <c r="U71" s="6">
        <f t="shared" si="17"/>
        <v>21.019200000000001</v>
      </c>
      <c r="V71" s="8" t="s">
        <v>119</v>
      </c>
      <c r="W71" s="8" t="s">
        <v>119</v>
      </c>
      <c r="X71" s="8"/>
      <c r="Y71" s="8"/>
    </row>
    <row r="72" spans="1:25" s="2" customFormat="1" x14ac:dyDescent="0.25">
      <c r="A72" s="2" t="s">
        <v>91</v>
      </c>
      <c r="B72" s="3" t="s">
        <v>156</v>
      </c>
      <c r="C72" s="3" t="s">
        <v>17</v>
      </c>
      <c r="D72" s="3" t="s">
        <v>18</v>
      </c>
      <c r="E72" s="3">
        <v>2019</v>
      </c>
      <c r="F72" s="3">
        <v>3</v>
      </c>
      <c r="G72" s="3">
        <v>18</v>
      </c>
      <c r="H72" s="3">
        <v>74</v>
      </c>
      <c r="I72" s="2" t="s">
        <v>116</v>
      </c>
      <c r="J72" s="2">
        <v>26</v>
      </c>
      <c r="K72" s="2" t="s">
        <v>123</v>
      </c>
      <c r="L72" s="8" t="s">
        <v>119</v>
      </c>
      <c r="M72" s="8" t="s">
        <v>119</v>
      </c>
      <c r="N72" s="4">
        <v>1579.7</v>
      </c>
      <c r="O72" s="4">
        <v>17.2</v>
      </c>
      <c r="P72" s="2">
        <v>2</v>
      </c>
      <c r="Q72" s="6">
        <v>41.28</v>
      </c>
      <c r="R72" s="6">
        <v>24.57</v>
      </c>
      <c r="S72" s="6">
        <f>Q72+R72</f>
        <v>65.849999999999994</v>
      </c>
      <c r="T72" s="6">
        <f t="shared" si="17"/>
        <v>35.913600000000002</v>
      </c>
      <c r="U72" s="6">
        <f t="shared" si="17"/>
        <v>21.375900000000001</v>
      </c>
      <c r="V72" s="8" t="s">
        <v>119</v>
      </c>
      <c r="W72" s="8" t="s">
        <v>119</v>
      </c>
      <c r="X72" s="8"/>
      <c r="Y72" s="8"/>
    </row>
    <row r="73" spans="1:25" s="2" customFormat="1" x14ac:dyDescent="0.25">
      <c r="A73" s="2" t="s">
        <v>42</v>
      </c>
      <c r="B73" s="3" t="s">
        <v>156</v>
      </c>
      <c r="C73" s="3" t="s">
        <v>17</v>
      </c>
      <c r="D73" s="3" t="s">
        <v>18</v>
      </c>
      <c r="E73" s="3">
        <v>2019</v>
      </c>
      <c r="F73" s="3">
        <v>4</v>
      </c>
      <c r="G73" s="3">
        <v>18</v>
      </c>
      <c r="H73" s="3">
        <v>90</v>
      </c>
      <c r="I73" s="2" t="s">
        <v>116</v>
      </c>
      <c r="J73" s="8" t="s">
        <v>119</v>
      </c>
      <c r="K73" s="2" t="s">
        <v>123</v>
      </c>
      <c r="L73" s="8" t="s">
        <v>119</v>
      </c>
      <c r="M73" s="8" t="s">
        <v>119</v>
      </c>
      <c r="N73" s="4">
        <v>1158.9000000000001</v>
      </c>
      <c r="O73" s="4">
        <v>17.899999999999999</v>
      </c>
      <c r="P73" s="2">
        <v>3</v>
      </c>
      <c r="Q73" s="8" t="s">
        <v>119</v>
      </c>
      <c r="R73" s="8" t="s">
        <v>119</v>
      </c>
      <c r="S73" s="8" t="s">
        <v>119</v>
      </c>
      <c r="T73" s="8" t="s">
        <v>119</v>
      </c>
      <c r="U73" s="8" t="s">
        <v>119</v>
      </c>
      <c r="V73" s="8" t="s">
        <v>119</v>
      </c>
      <c r="W73" s="8" t="s">
        <v>119</v>
      </c>
      <c r="X73" s="8"/>
      <c r="Y73" s="8"/>
    </row>
    <row r="74" spans="1:25" s="2" customFormat="1" x14ac:dyDescent="0.25">
      <c r="A74" s="2" t="s">
        <v>92</v>
      </c>
      <c r="B74" s="3" t="s">
        <v>157</v>
      </c>
      <c r="C74" s="3" t="s">
        <v>17</v>
      </c>
      <c r="D74" s="3" t="s">
        <v>18</v>
      </c>
      <c r="E74" s="3">
        <v>2019</v>
      </c>
      <c r="F74" s="3">
        <v>1</v>
      </c>
      <c r="G74" s="3">
        <v>19</v>
      </c>
      <c r="H74" s="3">
        <v>24</v>
      </c>
      <c r="I74" s="2" t="s">
        <v>117</v>
      </c>
      <c r="J74" s="2">
        <v>29</v>
      </c>
      <c r="K74" s="2" t="s">
        <v>122</v>
      </c>
      <c r="L74" s="2">
        <v>1.5</v>
      </c>
      <c r="M74" s="2">
        <v>40</v>
      </c>
      <c r="N74" s="4">
        <v>670.2</v>
      </c>
      <c r="O74" s="4">
        <v>13.1</v>
      </c>
      <c r="P74" s="2">
        <v>3.5</v>
      </c>
      <c r="Q74" s="6">
        <v>44.46</v>
      </c>
      <c r="R74" s="6">
        <v>22.58</v>
      </c>
      <c r="S74" s="6">
        <f>Q74+R74</f>
        <v>67.039999999999992</v>
      </c>
      <c r="T74" s="6">
        <f t="shared" ref="T74:U76" si="18">Q74*0.87</f>
        <v>38.680199999999999</v>
      </c>
      <c r="U74" s="6">
        <f t="shared" si="18"/>
        <v>19.644599999999997</v>
      </c>
      <c r="V74" s="8" t="s">
        <v>119</v>
      </c>
      <c r="W74" s="2" t="s">
        <v>126</v>
      </c>
      <c r="X74" s="8"/>
      <c r="Y74" s="8"/>
    </row>
    <row r="75" spans="1:25" s="2" customFormat="1" x14ac:dyDescent="0.25">
      <c r="A75" s="2" t="s">
        <v>64</v>
      </c>
      <c r="B75" s="3" t="s">
        <v>157</v>
      </c>
      <c r="C75" s="3" t="s">
        <v>17</v>
      </c>
      <c r="D75" s="3" t="s">
        <v>18</v>
      </c>
      <c r="E75" s="3">
        <v>2019</v>
      </c>
      <c r="F75" s="3">
        <v>2</v>
      </c>
      <c r="G75" s="3">
        <v>19</v>
      </c>
      <c r="H75" s="3">
        <v>28</v>
      </c>
      <c r="I75" s="2" t="s">
        <v>117</v>
      </c>
      <c r="J75" s="2">
        <v>25</v>
      </c>
      <c r="K75" s="2" t="s">
        <v>122</v>
      </c>
      <c r="L75" s="2">
        <v>1.5</v>
      </c>
      <c r="M75" s="2">
        <v>32</v>
      </c>
      <c r="N75" s="4">
        <v>284</v>
      </c>
      <c r="O75" s="4">
        <v>11.3</v>
      </c>
      <c r="P75" s="2">
        <v>4</v>
      </c>
      <c r="Q75" s="6">
        <v>45</v>
      </c>
      <c r="R75" s="6">
        <v>21.67</v>
      </c>
      <c r="S75" s="6">
        <f>Q75+R75</f>
        <v>66.67</v>
      </c>
      <c r="T75" s="6">
        <f t="shared" si="18"/>
        <v>39.15</v>
      </c>
      <c r="U75" s="6">
        <f t="shared" si="18"/>
        <v>18.852900000000002</v>
      </c>
      <c r="V75" s="8" t="s">
        <v>119</v>
      </c>
      <c r="W75" s="2" t="s">
        <v>126</v>
      </c>
      <c r="X75" s="8"/>
      <c r="Y75" s="8"/>
    </row>
    <row r="76" spans="1:25" s="2" customFormat="1" x14ac:dyDescent="0.25">
      <c r="A76" s="2" t="s">
        <v>40</v>
      </c>
      <c r="B76" s="3" t="s">
        <v>157</v>
      </c>
      <c r="C76" s="3" t="s">
        <v>17</v>
      </c>
      <c r="D76" s="3" t="s">
        <v>18</v>
      </c>
      <c r="E76" s="3">
        <v>2019</v>
      </c>
      <c r="F76" s="3">
        <v>3</v>
      </c>
      <c r="G76" s="3">
        <v>19</v>
      </c>
      <c r="H76" s="3">
        <v>69</v>
      </c>
      <c r="I76" s="2" t="s">
        <v>117</v>
      </c>
      <c r="J76" s="2">
        <v>30</v>
      </c>
      <c r="K76" s="2" t="s">
        <v>122</v>
      </c>
      <c r="L76" s="8" t="s">
        <v>119</v>
      </c>
      <c r="M76" s="8" t="s">
        <v>119</v>
      </c>
      <c r="N76" s="4">
        <v>1006.9</v>
      </c>
      <c r="O76" s="4">
        <v>15.1</v>
      </c>
      <c r="P76" s="2">
        <v>2</v>
      </c>
      <c r="Q76" s="6">
        <v>43.19</v>
      </c>
      <c r="R76" s="6">
        <v>22.65</v>
      </c>
      <c r="S76" s="6">
        <f>Q76+R76</f>
        <v>65.84</v>
      </c>
      <c r="T76" s="6">
        <f t="shared" si="18"/>
        <v>37.575299999999999</v>
      </c>
      <c r="U76" s="6">
        <f t="shared" si="18"/>
        <v>19.705499999999997</v>
      </c>
      <c r="V76" s="8" t="s">
        <v>119</v>
      </c>
      <c r="W76" s="2" t="s">
        <v>126</v>
      </c>
      <c r="X76" s="8"/>
      <c r="Y76" s="8"/>
    </row>
    <row r="77" spans="1:25" s="2" customFormat="1" x14ac:dyDescent="0.25">
      <c r="A77" s="2" t="s">
        <v>23</v>
      </c>
      <c r="B77" s="3" t="s">
        <v>157</v>
      </c>
      <c r="C77" s="3" t="s">
        <v>17</v>
      </c>
      <c r="D77" s="3" t="s">
        <v>18</v>
      </c>
      <c r="E77" s="3">
        <v>2019</v>
      </c>
      <c r="F77" s="3">
        <v>4</v>
      </c>
      <c r="G77" s="3">
        <v>19</v>
      </c>
      <c r="H77" s="3">
        <v>92</v>
      </c>
      <c r="I77" s="2" t="s">
        <v>117</v>
      </c>
      <c r="J77" s="8" t="s">
        <v>119</v>
      </c>
      <c r="K77" s="2" t="s">
        <v>122</v>
      </c>
      <c r="L77" s="8" t="s">
        <v>119</v>
      </c>
      <c r="M77" s="8" t="s">
        <v>119</v>
      </c>
      <c r="N77" s="4">
        <v>1364.2</v>
      </c>
      <c r="O77" s="4">
        <v>15.9</v>
      </c>
      <c r="P77" s="2">
        <v>2.5</v>
      </c>
      <c r="Q77" s="8" t="s">
        <v>119</v>
      </c>
      <c r="R77" s="8" t="s">
        <v>119</v>
      </c>
      <c r="S77" s="8" t="s">
        <v>119</v>
      </c>
      <c r="T77" s="8" t="s">
        <v>119</v>
      </c>
      <c r="U77" s="8" t="s">
        <v>119</v>
      </c>
      <c r="V77" s="8" t="s">
        <v>119</v>
      </c>
      <c r="W77" s="2" t="s">
        <v>126</v>
      </c>
      <c r="X77" s="8"/>
      <c r="Y77" s="8"/>
    </row>
    <row r="78" spans="1:25" s="2" customFormat="1" x14ac:dyDescent="0.25">
      <c r="A78" s="2" t="s">
        <v>49</v>
      </c>
      <c r="B78" s="3" t="s">
        <v>158</v>
      </c>
      <c r="C78" s="3" t="s">
        <v>17</v>
      </c>
      <c r="D78" s="3" t="s">
        <v>18</v>
      </c>
      <c r="E78" s="3">
        <v>2019</v>
      </c>
      <c r="F78" s="3">
        <v>1</v>
      </c>
      <c r="G78" s="3">
        <v>20</v>
      </c>
      <c r="H78" s="3">
        <v>3</v>
      </c>
      <c r="I78" s="2" t="s">
        <v>116</v>
      </c>
      <c r="J78" s="2">
        <v>25</v>
      </c>
      <c r="K78" s="2" t="s">
        <v>122</v>
      </c>
      <c r="L78" s="2">
        <v>1</v>
      </c>
      <c r="M78" s="2">
        <v>17</v>
      </c>
      <c r="N78" s="4">
        <v>1135.3</v>
      </c>
      <c r="O78" s="4">
        <v>13.4</v>
      </c>
      <c r="P78" s="2">
        <v>2.5</v>
      </c>
      <c r="Q78" s="6">
        <v>43.21</v>
      </c>
      <c r="R78" s="6">
        <v>21.98</v>
      </c>
      <c r="S78" s="6">
        <f>Q78+R78</f>
        <v>65.19</v>
      </c>
      <c r="T78" s="6">
        <f t="shared" ref="T78:U80" si="19">Q78*0.87</f>
        <v>37.592700000000001</v>
      </c>
      <c r="U78" s="6">
        <f t="shared" si="19"/>
        <v>19.122600000000002</v>
      </c>
      <c r="V78" s="8" t="s">
        <v>119</v>
      </c>
      <c r="W78" s="8" t="s">
        <v>119</v>
      </c>
      <c r="X78" s="8"/>
      <c r="Y78" s="8"/>
    </row>
    <row r="79" spans="1:25" s="2" customFormat="1" x14ac:dyDescent="0.25">
      <c r="A79" s="2" t="s">
        <v>81</v>
      </c>
      <c r="B79" s="3" t="s">
        <v>158</v>
      </c>
      <c r="C79" s="3" t="s">
        <v>17</v>
      </c>
      <c r="D79" s="3" t="s">
        <v>18</v>
      </c>
      <c r="E79" s="3">
        <v>2019</v>
      </c>
      <c r="F79" s="3">
        <v>2</v>
      </c>
      <c r="G79" s="3">
        <v>20</v>
      </c>
      <c r="H79" s="3">
        <v>44</v>
      </c>
      <c r="I79" s="2" t="s">
        <v>116</v>
      </c>
      <c r="J79" s="2">
        <v>22</v>
      </c>
      <c r="K79" s="2" t="s">
        <v>122</v>
      </c>
      <c r="L79" s="2">
        <v>1</v>
      </c>
      <c r="M79" s="2">
        <v>18</v>
      </c>
      <c r="N79" s="4">
        <v>936.3</v>
      </c>
      <c r="O79" s="4">
        <v>14</v>
      </c>
      <c r="P79" s="2">
        <v>2.5</v>
      </c>
      <c r="Q79" s="6">
        <v>44.2</v>
      </c>
      <c r="R79" s="6">
        <v>22.28</v>
      </c>
      <c r="S79" s="6">
        <f>Q79+R79</f>
        <v>66.48</v>
      </c>
      <c r="T79" s="6">
        <f t="shared" si="19"/>
        <v>38.454000000000001</v>
      </c>
      <c r="U79" s="6">
        <f t="shared" si="19"/>
        <v>19.383600000000001</v>
      </c>
      <c r="V79" s="8" t="s">
        <v>119</v>
      </c>
      <c r="W79" s="8" t="s">
        <v>119</v>
      </c>
      <c r="X79" s="8"/>
      <c r="Y79" s="8"/>
    </row>
    <row r="80" spans="1:25" s="2" customFormat="1" x14ac:dyDescent="0.25">
      <c r="A80" s="2" t="s">
        <v>19</v>
      </c>
      <c r="B80" s="3" t="s">
        <v>158</v>
      </c>
      <c r="C80" s="3" t="s">
        <v>17</v>
      </c>
      <c r="D80" s="3" t="s">
        <v>18</v>
      </c>
      <c r="E80" s="3">
        <v>2019</v>
      </c>
      <c r="F80" s="3">
        <v>3</v>
      </c>
      <c r="G80" s="3">
        <v>20</v>
      </c>
      <c r="H80" s="3">
        <v>51</v>
      </c>
      <c r="I80" s="2" t="s">
        <v>116</v>
      </c>
      <c r="J80" s="2">
        <v>22</v>
      </c>
      <c r="K80" s="2" t="s">
        <v>122</v>
      </c>
      <c r="L80" s="8" t="s">
        <v>119</v>
      </c>
      <c r="M80" s="8" t="s">
        <v>119</v>
      </c>
      <c r="N80" s="4">
        <v>1240.3</v>
      </c>
      <c r="O80" s="4">
        <v>14.2</v>
      </c>
      <c r="P80" s="2">
        <v>2</v>
      </c>
      <c r="Q80" s="6">
        <v>43.23</v>
      </c>
      <c r="R80" s="6">
        <v>22.7</v>
      </c>
      <c r="S80" s="6">
        <f>Q80+R80</f>
        <v>65.929999999999993</v>
      </c>
      <c r="T80" s="6">
        <f t="shared" si="19"/>
        <v>37.610099999999996</v>
      </c>
      <c r="U80" s="6">
        <f t="shared" si="19"/>
        <v>19.748999999999999</v>
      </c>
      <c r="V80" s="8" t="s">
        <v>119</v>
      </c>
      <c r="W80" s="8" t="s">
        <v>119</v>
      </c>
      <c r="X80" s="8"/>
      <c r="Y80" s="8"/>
    </row>
    <row r="81" spans="1:25" s="2" customFormat="1" x14ac:dyDescent="0.25">
      <c r="A81" s="2" t="s">
        <v>111</v>
      </c>
      <c r="B81" s="3" t="s">
        <v>158</v>
      </c>
      <c r="C81" s="3" t="s">
        <v>17</v>
      </c>
      <c r="D81" s="3" t="s">
        <v>18</v>
      </c>
      <c r="E81" s="3">
        <v>2019</v>
      </c>
      <c r="F81" s="3">
        <v>4</v>
      </c>
      <c r="G81" s="3">
        <v>20</v>
      </c>
      <c r="H81" s="3">
        <v>95</v>
      </c>
      <c r="I81" s="2" t="s">
        <v>116</v>
      </c>
      <c r="J81" s="8" t="s">
        <v>119</v>
      </c>
      <c r="K81" s="2" t="s">
        <v>122</v>
      </c>
      <c r="L81" s="8" t="s">
        <v>119</v>
      </c>
      <c r="M81" s="8" t="s">
        <v>119</v>
      </c>
      <c r="N81" s="4">
        <v>573.6</v>
      </c>
      <c r="O81" s="4">
        <v>13.3</v>
      </c>
      <c r="P81" s="2">
        <v>3</v>
      </c>
      <c r="Q81" s="8" t="s">
        <v>119</v>
      </c>
      <c r="R81" s="8" t="s">
        <v>119</v>
      </c>
      <c r="S81" s="8" t="s">
        <v>119</v>
      </c>
      <c r="T81" s="8" t="s">
        <v>119</v>
      </c>
      <c r="U81" s="8" t="s">
        <v>119</v>
      </c>
      <c r="V81" s="8" t="s">
        <v>119</v>
      </c>
      <c r="W81" s="8" t="s">
        <v>119</v>
      </c>
      <c r="X81" s="8"/>
      <c r="Y81" s="8"/>
    </row>
    <row r="82" spans="1:25" s="2" customFormat="1" x14ac:dyDescent="0.25">
      <c r="A82" s="2" t="s">
        <v>21</v>
      </c>
      <c r="B82" s="3" t="s">
        <v>159</v>
      </c>
      <c r="C82" s="3" t="s">
        <v>17</v>
      </c>
      <c r="D82" s="3" t="s">
        <v>18</v>
      </c>
      <c r="E82" s="3">
        <v>2019</v>
      </c>
      <c r="F82" s="3">
        <v>1</v>
      </c>
      <c r="G82" s="3">
        <v>21</v>
      </c>
      <c r="H82" s="3">
        <v>10</v>
      </c>
      <c r="I82" s="2" t="s">
        <v>116</v>
      </c>
      <c r="J82" s="2">
        <v>27</v>
      </c>
      <c r="K82" s="2" t="s">
        <v>123</v>
      </c>
      <c r="L82" s="2">
        <v>2</v>
      </c>
      <c r="M82" s="2">
        <v>42</v>
      </c>
      <c r="N82" s="4">
        <v>965.1</v>
      </c>
      <c r="O82" s="4">
        <v>18</v>
      </c>
      <c r="P82" s="2">
        <v>2</v>
      </c>
      <c r="Q82" s="6">
        <v>43.74</v>
      </c>
      <c r="R82" s="6">
        <v>22.11</v>
      </c>
      <c r="S82" s="6">
        <f>Q82+R82</f>
        <v>65.849999999999994</v>
      </c>
      <c r="T82" s="6">
        <f t="shared" ref="T82:U84" si="20">Q82*0.87</f>
        <v>38.053800000000003</v>
      </c>
      <c r="U82" s="6">
        <f t="shared" si="20"/>
        <v>19.235699999999998</v>
      </c>
      <c r="V82" s="8" t="s">
        <v>119</v>
      </c>
      <c r="W82" s="8" t="s">
        <v>119</v>
      </c>
      <c r="X82" s="8"/>
      <c r="Y82" s="8"/>
    </row>
    <row r="83" spans="1:25" s="2" customFormat="1" x14ac:dyDescent="0.25">
      <c r="A83" s="2" t="s">
        <v>60</v>
      </c>
      <c r="B83" s="3" t="s">
        <v>159</v>
      </c>
      <c r="C83" s="3" t="s">
        <v>17</v>
      </c>
      <c r="D83" s="3" t="s">
        <v>18</v>
      </c>
      <c r="E83" s="3">
        <v>2019</v>
      </c>
      <c r="F83" s="3">
        <v>2</v>
      </c>
      <c r="G83" s="3">
        <v>21</v>
      </c>
      <c r="H83" s="3">
        <v>29</v>
      </c>
      <c r="I83" s="2" t="s">
        <v>116</v>
      </c>
      <c r="J83" s="2">
        <v>30</v>
      </c>
      <c r="K83" s="2" t="s">
        <v>123</v>
      </c>
      <c r="L83" s="2">
        <v>1.5</v>
      </c>
      <c r="M83" s="2">
        <v>35</v>
      </c>
      <c r="N83" s="4">
        <v>581.70000000000005</v>
      </c>
      <c r="O83" s="4">
        <v>18.3</v>
      </c>
      <c r="P83" s="2">
        <v>3</v>
      </c>
      <c r="Q83" s="6">
        <v>46.53</v>
      </c>
      <c r="R83" s="6">
        <v>21.03</v>
      </c>
      <c r="S83" s="6">
        <f>Q83+R83</f>
        <v>67.56</v>
      </c>
      <c r="T83" s="6">
        <f t="shared" si="20"/>
        <v>40.481099999999998</v>
      </c>
      <c r="U83" s="6">
        <f t="shared" si="20"/>
        <v>18.296099999999999</v>
      </c>
      <c r="V83" s="8" t="s">
        <v>119</v>
      </c>
      <c r="W83" s="8" t="s">
        <v>119</v>
      </c>
      <c r="X83" s="8"/>
      <c r="Y83" s="8"/>
    </row>
    <row r="84" spans="1:25" s="2" customFormat="1" x14ac:dyDescent="0.25">
      <c r="A84" s="2" t="s">
        <v>32</v>
      </c>
      <c r="B84" s="3" t="s">
        <v>159</v>
      </c>
      <c r="C84" s="3" t="s">
        <v>17</v>
      </c>
      <c r="D84" s="3" t="s">
        <v>18</v>
      </c>
      <c r="E84" s="3">
        <v>2019</v>
      </c>
      <c r="F84" s="3">
        <v>3</v>
      </c>
      <c r="G84" s="3">
        <v>21</v>
      </c>
      <c r="H84" s="3">
        <v>71</v>
      </c>
      <c r="I84" s="2" t="s">
        <v>116</v>
      </c>
      <c r="J84" s="2">
        <v>30</v>
      </c>
      <c r="K84" s="2" t="s">
        <v>123</v>
      </c>
      <c r="L84" s="8" t="s">
        <v>119</v>
      </c>
      <c r="M84" s="8" t="s">
        <v>119</v>
      </c>
      <c r="N84" s="4">
        <v>1345.6</v>
      </c>
      <c r="O84" s="4">
        <v>17.100000000000001</v>
      </c>
      <c r="P84" s="2">
        <v>2</v>
      </c>
      <c r="Q84" s="6">
        <v>45.64</v>
      </c>
      <c r="R84" s="6">
        <v>21.74</v>
      </c>
      <c r="S84" s="6">
        <f>Q84+R84</f>
        <v>67.38</v>
      </c>
      <c r="T84" s="6">
        <f t="shared" si="20"/>
        <v>39.706800000000001</v>
      </c>
      <c r="U84" s="6">
        <f t="shared" si="20"/>
        <v>18.913799999999998</v>
      </c>
      <c r="V84" s="8" t="s">
        <v>119</v>
      </c>
      <c r="W84" s="8" t="s">
        <v>119</v>
      </c>
      <c r="X84" s="8"/>
      <c r="Y84" s="8"/>
    </row>
    <row r="85" spans="1:25" s="2" customFormat="1" x14ac:dyDescent="0.25">
      <c r="A85" s="2" t="s">
        <v>86</v>
      </c>
      <c r="B85" s="3" t="s">
        <v>159</v>
      </c>
      <c r="C85" s="3" t="s">
        <v>17</v>
      </c>
      <c r="D85" s="3" t="s">
        <v>18</v>
      </c>
      <c r="E85" s="3">
        <v>2019</v>
      </c>
      <c r="F85" s="3">
        <v>4</v>
      </c>
      <c r="G85" s="3">
        <v>21</v>
      </c>
      <c r="H85" s="3">
        <v>84</v>
      </c>
      <c r="I85" s="2" t="s">
        <v>116</v>
      </c>
      <c r="J85" s="8" t="s">
        <v>119</v>
      </c>
      <c r="K85" s="2" t="s">
        <v>123</v>
      </c>
      <c r="L85" s="8" t="s">
        <v>119</v>
      </c>
      <c r="M85" s="8" t="s">
        <v>119</v>
      </c>
      <c r="N85" s="4">
        <v>1054.4000000000001</v>
      </c>
      <c r="O85" s="4">
        <v>18.3</v>
      </c>
      <c r="P85" s="2">
        <v>3.5</v>
      </c>
      <c r="Q85" s="8" t="s">
        <v>119</v>
      </c>
      <c r="R85" s="8" t="s">
        <v>119</v>
      </c>
      <c r="S85" s="8" t="s">
        <v>119</v>
      </c>
      <c r="T85" s="8" t="s">
        <v>119</v>
      </c>
      <c r="U85" s="8" t="s">
        <v>119</v>
      </c>
      <c r="V85" s="8" t="s">
        <v>119</v>
      </c>
      <c r="W85" s="2" t="s">
        <v>126</v>
      </c>
      <c r="X85" s="8"/>
      <c r="Y85" s="8"/>
    </row>
    <row r="86" spans="1:25" s="2" customFormat="1" x14ac:dyDescent="0.25">
      <c r="A86" s="2" t="s">
        <v>28</v>
      </c>
      <c r="B86" s="3" t="s">
        <v>160</v>
      </c>
      <c r="C86" s="3" t="s">
        <v>17</v>
      </c>
      <c r="D86" s="3" t="s">
        <v>18</v>
      </c>
      <c r="E86" s="3">
        <v>2019</v>
      </c>
      <c r="F86" s="3">
        <v>1</v>
      </c>
      <c r="G86" s="3">
        <v>22</v>
      </c>
      <c r="H86" s="3">
        <v>20</v>
      </c>
      <c r="I86" s="2" t="s">
        <v>116</v>
      </c>
      <c r="J86" s="2">
        <v>26</v>
      </c>
      <c r="K86" s="2" t="s">
        <v>122</v>
      </c>
      <c r="L86" s="2">
        <v>2</v>
      </c>
      <c r="M86" s="2">
        <v>32</v>
      </c>
      <c r="N86" s="4">
        <v>1098</v>
      </c>
      <c r="O86" s="4">
        <v>15.3</v>
      </c>
      <c r="P86" s="2">
        <v>4</v>
      </c>
      <c r="Q86" s="6">
        <v>43.16</v>
      </c>
      <c r="R86" s="6">
        <v>23.27</v>
      </c>
      <c r="S86" s="6">
        <f>Q86+R86</f>
        <v>66.429999999999993</v>
      </c>
      <c r="T86" s="6">
        <f t="shared" ref="T86:U88" si="21">Q86*0.87</f>
        <v>37.549199999999999</v>
      </c>
      <c r="U86" s="6">
        <f t="shared" si="21"/>
        <v>20.244900000000001</v>
      </c>
      <c r="V86" s="8" t="s">
        <v>119</v>
      </c>
      <c r="W86" s="2" t="s">
        <v>126</v>
      </c>
      <c r="X86" s="8"/>
      <c r="Y86" s="8"/>
    </row>
    <row r="87" spans="1:25" s="2" customFormat="1" x14ac:dyDescent="0.25">
      <c r="A87" s="2" t="s">
        <v>41</v>
      </c>
      <c r="B87" s="3" t="s">
        <v>160</v>
      </c>
      <c r="C87" s="3" t="s">
        <v>17</v>
      </c>
      <c r="D87" s="3" t="s">
        <v>18</v>
      </c>
      <c r="E87" s="3">
        <v>2019</v>
      </c>
      <c r="F87" s="3">
        <v>2</v>
      </c>
      <c r="G87" s="3">
        <v>22</v>
      </c>
      <c r="H87" s="3">
        <v>40</v>
      </c>
      <c r="I87" s="2" t="s">
        <v>116</v>
      </c>
      <c r="J87" s="2">
        <v>26</v>
      </c>
      <c r="K87" s="2" t="s">
        <v>122</v>
      </c>
      <c r="L87" s="2">
        <v>2</v>
      </c>
      <c r="M87" s="2">
        <v>28</v>
      </c>
      <c r="N87" s="4">
        <v>1038.5</v>
      </c>
      <c r="O87" s="4">
        <v>15.9</v>
      </c>
      <c r="P87" s="2">
        <v>4</v>
      </c>
      <c r="Q87" s="6">
        <v>42.49</v>
      </c>
      <c r="R87" s="6">
        <v>23.44</v>
      </c>
      <c r="S87" s="6">
        <f>Q87+R87</f>
        <v>65.930000000000007</v>
      </c>
      <c r="T87" s="6">
        <f t="shared" si="21"/>
        <v>36.966300000000004</v>
      </c>
      <c r="U87" s="6">
        <f t="shared" si="21"/>
        <v>20.392800000000001</v>
      </c>
      <c r="V87" s="8" t="s">
        <v>119</v>
      </c>
      <c r="W87" s="2" t="s">
        <v>126</v>
      </c>
      <c r="X87" s="8"/>
      <c r="Y87" s="8"/>
    </row>
    <row r="88" spans="1:25" s="2" customFormat="1" x14ac:dyDescent="0.25">
      <c r="A88" s="2" t="s">
        <v>106</v>
      </c>
      <c r="B88" s="3" t="s">
        <v>160</v>
      </c>
      <c r="C88" s="3" t="s">
        <v>17</v>
      </c>
      <c r="D88" s="3" t="s">
        <v>18</v>
      </c>
      <c r="E88" s="3">
        <v>2019</v>
      </c>
      <c r="F88" s="3">
        <v>3</v>
      </c>
      <c r="G88" s="3">
        <v>22</v>
      </c>
      <c r="H88" s="3">
        <v>55</v>
      </c>
      <c r="I88" s="2" t="s">
        <v>116</v>
      </c>
      <c r="J88" s="2">
        <v>25</v>
      </c>
      <c r="K88" s="2" t="s">
        <v>122</v>
      </c>
      <c r="L88" s="8" t="s">
        <v>119</v>
      </c>
      <c r="M88" s="8" t="s">
        <v>119</v>
      </c>
      <c r="N88" s="4">
        <v>762.3</v>
      </c>
      <c r="O88" s="4">
        <v>11.9</v>
      </c>
      <c r="P88" s="2">
        <v>4</v>
      </c>
      <c r="Q88" s="6">
        <v>42.88</v>
      </c>
      <c r="R88" s="6">
        <v>23.47</v>
      </c>
      <c r="S88" s="6">
        <f>Q88+R88</f>
        <v>66.349999999999994</v>
      </c>
      <c r="T88" s="6">
        <f t="shared" si="21"/>
        <v>37.305600000000005</v>
      </c>
      <c r="U88" s="6">
        <f t="shared" si="21"/>
        <v>20.418899999999997</v>
      </c>
      <c r="V88" s="8" t="s">
        <v>119</v>
      </c>
      <c r="W88" s="2" t="s">
        <v>126</v>
      </c>
      <c r="X88" s="8"/>
      <c r="Y88" s="8"/>
    </row>
    <row r="89" spans="1:25" s="2" customFormat="1" x14ac:dyDescent="0.25">
      <c r="A89" s="2" t="s">
        <v>80</v>
      </c>
      <c r="B89" s="3" t="s">
        <v>160</v>
      </c>
      <c r="C89" s="3" t="s">
        <v>17</v>
      </c>
      <c r="D89" s="3" t="s">
        <v>18</v>
      </c>
      <c r="E89" s="3">
        <v>2019</v>
      </c>
      <c r="F89" s="3">
        <v>4</v>
      </c>
      <c r="G89" s="3">
        <v>22</v>
      </c>
      <c r="H89" s="3">
        <v>94</v>
      </c>
      <c r="I89" s="2" t="s">
        <v>116</v>
      </c>
      <c r="J89" s="8" t="s">
        <v>119</v>
      </c>
      <c r="K89" s="2" t="s">
        <v>122</v>
      </c>
      <c r="L89" s="8" t="s">
        <v>119</v>
      </c>
      <c r="M89" s="8" t="s">
        <v>119</v>
      </c>
      <c r="N89" s="4">
        <v>989.6</v>
      </c>
      <c r="O89" s="4">
        <v>14.5</v>
      </c>
      <c r="P89" s="2">
        <v>4</v>
      </c>
      <c r="Q89" s="8" t="s">
        <v>119</v>
      </c>
      <c r="R89" s="8" t="s">
        <v>119</v>
      </c>
      <c r="S89" s="8" t="s">
        <v>119</v>
      </c>
      <c r="T89" s="8" t="s">
        <v>119</v>
      </c>
      <c r="U89" s="8" t="s">
        <v>119</v>
      </c>
      <c r="V89" s="8" t="s">
        <v>119</v>
      </c>
      <c r="W89" s="2" t="s">
        <v>127</v>
      </c>
      <c r="X89" s="8"/>
      <c r="Y89" s="8"/>
    </row>
    <row r="90" spans="1:25" s="2" customFormat="1" x14ac:dyDescent="0.25">
      <c r="A90" s="2" t="s">
        <v>52</v>
      </c>
      <c r="B90" s="3" t="s">
        <v>38</v>
      </c>
      <c r="C90" s="3" t="s">
        <v>17</v>
      </c>
      <c r="D90" s="3" t="s">
        <v>18</v>
      </c>
      <c r="E90" s="3">
        <v>2019</v>
      </c>
      <c r="F90" s="3">
        <v>1</v>
      </c>
      <c r="G90" s="3">
        <v>23</v>
      </c>
      <c r="H90" s="3">
        <v>8</v>
      </c>
      <c r="I90" s="2" t="s">
        <v>117</v>
      </c>
      <c r="J90" s="2">
        <v>32</v>
      </c>
      <c r="K90" s="2" t="s">
        <v>122</v>
      </c>
      <c r="L90" s="2">
        <v>1</v>
      </c>
      <c r="M90" s="2">
        <v>18</v>
      </c>
      <c r="N90" s="4">
        <v>1027.0999999999999</v>
      </c>
      <c r="O90" s="4">
        <v>13.6</v>
      </c>
      <c r="P90" s="2">
        <v>2</v>
      </c>
      <c r="Q90" s="6">
        <v>42.65</v>
      </c>
      <c r="R90" s="6">
        <v>22.42</v>
      </c>
      <c r="S90" s="6">
        <f>Q90+R90</f>
        <v>65.069999999999993</v>
      </c>
      <c r="T90" s="6">
        <f t="shared" ref="T90:U92" si="22">Q90*0.87</f>
        <v>37.105499999999999</v>
      </c>
      <c r="U90" s="6">
        <f t="shared" si="22"/>
        <v>19.505400000000002</v>
      </c>
      <c r="V90" s="8" t="s">
        <v>119</v>
      </c>
      <c r="W90" s="8" t="s">
        <v>119</v>
      </c>
      <c r="X90" s="8"/>
      <c r="Y90" s="8"/>
    </row>
    <row r="91" spans="1:25" s="2" customFormat="1" x14ac:dyDescent="0.25">
      <c r="A91" s="2" t="s">
        <v>37</v>
      </c>
      <c r="B91" s="3" t="s">
        <v>38</v>
      </c>
      <c r="C91" s="3" t="s">
        <v>17</v>
      </c>
      <c r="D91" s="3" t="s">
        <v>18</v>
      </c>
      <c r="E91" s="3">
        <v>2019</v>
      </c>
      <c r="F91" s="3">
        <v>2</v>
      </c>
      <c r="G91" s="3">
        <v>23</v>
      </c>
      <c r="H91" s="3">
        <v>31</v>
      </c>
      <c r="I91" s="2" t="s">
        <v>117</v>
      </c>
      <c r="J91" s="2">
        <v>27</v>
      </c>
      <c r="K91" s="2" t="s">
        <v>122</v>
      </c>
      <c r="L91" s="2">
        <v>1</v>
      </c>
      <c r="M91" s="2">
        <v>19</v>
      </c>
      <c r="N91" s="4">
        <v>1032.5999999999999</v>
      </c>
      <c r="O91" s="4">
        <v>12.3</v>
      </c>
      <c r="P91" s="2">
        <v>1</v>
      </c>
      <c r="Q91" s="6">
        <v>40.299999999999997</v>
      </c>
      <c r="R91" s="6">
        <v>23.27</v>
      </c>
      <c r="S91" s="6">
        <f>Q91+R91</f>
        <v>63.569999999999993</v>
      </c>
      <c r="T91" s="6">
        <f t="shared" si="22"/>
        <v>35.061</v>
      </c>
      <c r="U91" s="6">
        <f t="shared" si="22"/>
        <v>20.244900000000001</v>
      </c>
      <c r="V91" s="8" t="s">
        <v>119</v>
      </c>
      <c r="W91" s="8" t="s">
        <v>119</v>
      </c>
      <c r="X91" s="8"/>
      <c r="Y91" s="8"/>
    </row>
    <row r="92" spans="1:25" s="2" customFormat="1" x14ac:dyDescent="0.25">
      <c r="A92" s="2" t="s">
        <v>97</v>
      </c>
      <c r="B92" s="3" t="s">
        <v>38</v>
      </c>
      <c r="C92" s="3" t="s">
        <v>17</v>
      </c>
      <c r="D92" s="3" t="s">
        <v>18</v>
      </c>
      <c r="E92" s="3">
        <v>2019</v>
      </c>
      <c r="F92" s="3">
        <v>3</v>
      </c>
      <c r="G92" s="3">
        <v>23</v>
      </c>
      <c r="H92" s="3">
        <v>64</v>
      </c>
      <c r="I92" s="2" t="s">
        <v>117</v>
      </c>
      <c r="J92" s="2">
        <v>28</v>
      </c>
      <c r="K92" s="2" t="s">
        <v>122</v>
      </c>
      <c r="L92" s="8" t="s">
        <v>119</v>
      </c>
      <c r="M92" s="8" t="s">
        <v>119</v>
      </c>
      <c r="N92" s="4">
        <v>787</v>
      </c>
      <c r="O92" s="4">
        <v>11.7</v>
      </c>
      <c r="P92" s="2">
        <v>1.5</v>
      </c>
      <c r="Q92" s="6">
        <v>41.78</v>
      </c>
      <c r="R92" s="6">
        <v>23.08</v>
      </c>
      <c r="S92" s="6">
        <f>Q92+R92</f>
        <v>64.86</v>
      </c>
      <c r="T92" s="6">
        <f t="shared" si="22"/>
        <v>36.348599999999998</v>
      </c>
      <c r="U92" s="6">
        <f t="shared" si="22"/>
        <v>20.079599999999999</v>
      </c>
      <c r="V92" s="8" t="s">
        <v>119</v>
      </c>
      <c r="W92" s="8" t="s">
        <v>119</v>
      </c>
      <c r="X92" s="8"/>
      <c r="Y92" s="8"/>
    </row>
    <row r="93" spans="1:25" s="2" customFormat="1" x14ac:dyDescent="0.25">
      <c r="A93" s="2" t="s">
        <v>68</v>
      </c>
      <c r="B93" s="3" t="s">
        <v>38</v>
      </c>
      <c r="C93" s="3" t="s">
        <v>17</v>
      </c>
      <c r="D93" s="3" t="s">
        <v>18</v>
      </c>
      <c r="E93" s="3">
        <v>2019</v>
      </c>
      <c r="F93" s="3">
        <v>4</v>
      </c>
      <c r="G93" s="3">
        <v>23</v>
      </c>
      <c r="H93" s="3">
        <v>83</v>
      </c>
      <c r="I93" s="2" t="s">
        <v>117</v>
      </c>
      <c r="J93" s="8" t="s">
        <v>119</v>
      </c>
      <c r="K93" s="2" t="s">
        <v>122</v>
      </c>
      <c r="L93" s="8" t="s">
        <v>119</v>
      </c>
      <c r="M93" s="8" t="s">
        <v>119</v>
      </c>
      <c r="N93" s="4">
        <v>1302.4000000000001</v>
      </c>
      <c r="O93" s="4">
        <v>14</v>
      </c>
      <c r="P93" s="2">
        <v>2</v>
      </c>
      <c r="Q93" s="8" t="s">
        <v>119</v>
      </c>
      <c r="R93" s="8" t="s">
        <v>119</v>
      </c>
      <c r="S93" s="8" t="s">
        <v>119</v>
      </c>
      <c r="T93" s="8" t="s">
        <v>119</v>
      </c>
      <c r="U93" s="8" t="s">
        <v>119</v>
      </c>
      <c r="V93" s="8" t="s">
        <v>119</v>
      </c>
      <c r="W93" s="8" t="s">
        <v>119</v>
      </c>
      <c r="X93" s="8"/>
      <c r="Y93" s="8"/>
    </row>
    <row r="94" spans="1:25" s="2" customFormat="1" x14ac:dyDescent="0.25">
      <c r="A94" s="2" t="s">
        <v>130</v>
      </c>
      <c r="B94" s="3" t="s">
        <v>129</v>
      </c>
      <c r="C94" s="3" t="s">
        <v>17</v>
      </c>
      <c r="D94" s="3" t="s">
        <v>18</v>
      </c>
      <c r="E94" s="3">
        <v>2019</v>
      </c>
      <c r="F94" s="3">
        <v>1</v>
      </c>
      <c r="G94" s="3">
        <v>24</v>
      </c>
      <c r="H94" s="3">
        <v>12</v>
      </c>
      <c r="I94" s="2" t="s">
        <v>117</v>
      </c>
      <c r="J94" s="2">
        <v>20</v>
      </c>
      <c r="K94" s="2" t="s">
        <v>123</v>
      </c>
      <c r="L94" s="2">
        <v>2</v>
      </c>
      <c r="M94" s="2">
        <v>27</v>
      </c>
      <c r="N94" s="4">
        <v>1003.5</v>
      </c>
      <c r="O94" s="4">
        <v>16.100000000000001</v>
      </c>
      <c r="P94" s="2">
        <v>2.5</v>
      </c>
      <c r="Q94" s="6">
        <v>42.41</v>
      </c>
      <c r="R94" s="6">
        <v>23.69</v>
      </c>
      <c r="S94" s="6">
        <f>Q94+R94</f>
        <v>66.099999999999994</v>
      </c>
      <c r="T94" s="6">
        <f t="shared" ref="T94:U96" si="23">Q94*0.87</f>
        <v>36.896699999999996</v>
      </c>
      <c r="U94" s="6">
        <f t="shared" si="23"/>
        <v>20.610300000000002</v>
      </c>
      <c r="V94" s="8" t="s">
        <v>119</v>
      </c>
      <c r="W94" s="8" t="s">
        <v>119</v>
      </c>
      <c r="X94" s="8"/>
      <c r="Y94" s="8"/>
    </row>
    <row r="95" spans="1:25" s="2" customFormat="1" x14ac:dyDescent="0.25">
      <c r="A95" s="2" t="s">
        <v>131</v>
      </c>
      <c r="B95" s="3" t="s">
        <v>129</v>
      </c>
      <c r="C95" s="3" t="s">
        <v>17</v>
      </c>
      <c r="D95" s="3" t="s">
        <v>18</v>
      </c>
      <c r="E95" s="3">
        <v>2019</v>
      </c>
      <c r="F95" s="3">
        <v>2</v>
      </c>
      <c r="G95" s="3">
        <v>24</v>
      </c>
      <c r="H95" s="3">
        <v>50</v>
      </c>
      <c r="I95" s="2" t="s">
        <v>117</v>
      </c>
      <c r="J95" s="2">
        <v>22</v>
      </c>
      <c r="K95" s="2" t="s">
        <v>123</v>
      </c>
      <c r="L95" s="2">
        <v>1.5</v>
      </c>
      <c r="M95" s="2">
        <v>26</v>
      </c>
      <c r="N95" s="4">
        <v>1261.0999999999999</v>
      </c>
      <c r="O95" s="4">
        <v>16.899999999999999</v>
      </c>
      <c r="P95" s="2">
        <v>3</v>
      </c>
      <c r="Q95" s="6">
        <v>42.68</v>
      </c>
      <c r="R95" s="6">
        <v>23.54</v>
      </c>
      <c r="S95" s="6">
        <f>Q95+R95</f>
        <v>66.22</v>
      </c>
      <c r="T95" s="6">
        <f t="shared" si="23"/>
        <v>37.131599999999999</v>
      </c>
      <c r="U95" s="6">
        <f t="shared" si="23"/>
        <v>20.479800000000001</v>
      </c>
      <c r="V95" s="8" t="s">
        <v>119</v>
      </c>
      <c r="W95" s="8" t="s">
        <v>119</v>
      </c>
      <c r="X95" s="8"/>
      <c r="Y95" s="8"/>
    </row>
    <row r="96" spans="1:25" s="2" customFormat="1" x14ac:dyDescent="0.25">
      <c r="A96" s="2" t="s">
        <v>132</v>
      </c>
      <c r="B96" s="3" t="s">
        <v>129</v>
      </c>
      <c r="C96" s="3" t="s">
        <v>17</v>
      </c>
      <c r="D96" s="3" t="s">
        <v>18</v>
      </c>
      <c r="E96" s="3">
        <v>2019</v>
      </c>
      <c r="F96" s="3">
        <v>3</v>
      </c>
      <c r="G96" s="3">
        <v>24</v>
      </c>
      <c r="H96" s="3">
        <v>52</v>
      </c>
      <c r="I96" s="2" t="s">
        <v>117</v>
      </c>
      <c r="J96" s="2">
        <v>22</v>
      </c>
      <c r="K96" s="2" t="s">
        <v>123</v>
      </c>
      <c r="L96" s="8" t="s">
        <v>119</v>
      </c>
      <c r="M96" s="8" t="s">
        <v>119</v>
      </c>
      <c r="N96" s="4">
        <v>1282.7</v>
      </c>
      <c r="O96" s="4">
        <v>16.899999999999999</v>
      </c>
      <c r="P96" s="2">
        <v>2.5</v>
      </c>
      <c r="Q96" s="6">
        <v>42.59</v>
      </c>
      <c r="R96" s="6">
        <v>24.33</v>
      </c>
      <c r="S96" s="6">
        <f>Q96+R96</f>
        <v>66.92</v>
      </c>
      <c r="T96" s="6">
        <f t="shared" si="23"/>
        <v>37.0533</v>
      </c>
      <c r="U96" s="6">
        <f t="shared" si="23"/>
        <v>21.167099999999998</v>
      </c>
      <c r="V96" s="8" t="s">
        <v>119</v>
      </c>
      <c r="W96" s="8" t="s">
        <v>119</v>
      </c>
      <c r="X96" s="8"/>
      <c r="Y96" s="8"/>
    </row>
    <row r="97" spans="1:25" s="2" customFormat="1" x14ac:dyDescent="0.25">
      <c r="A97" s="2" t="s">
        <v>133</v>
      </c>
      <c r="B97" s="3" t="s">
        <v>129</v>
      </c>
      <c r="C97" s="3" t="s">
        <v>17</v>
      </c>
      <c r="D97" s="3" t="s">
        <v>18</v>
      </c>
      <c r="E97" s="3">
        <v>2019</v>
      </c>
      <c r="F97" s="3">
        <v>4</v>
      </c>
      <c r="G97" s="3">
        <v>24</v>
      </c>
      <c r="H97" s="3">
        <v>77</v>
      </c>
      <c r="I97" s="2" t="s">
        <v>117</v>
      </c>
      <c r="J97" s="8" t="s">
        <v>119</v>
      </c>
      <c r="K97" s="2" t="s">
        <v>123</v>
      </c>
      <c r="L97" s="8" t="s">
        <v>119</v>
      </c>
      <c r="M97" s="8" t="s">
        <v>119</v>
      </c>
      <c r="N97" s="4">
        <v>863.7</v>
      </c>
      <c r="O97" s="4">
        <v>14.9</v>
      </c>
      <c r="P97" s="2">
        <v>3</v>
      </c>
      <c r="Q97" s="8" t="s">
        <v>119</v>
      </c>
      <c r="R97" s="8" t="s">
        <v>119</v>
      </c>
      <c r="S97" s="8" t="s">
        <v>119</v>
      </c>
      <c r="T97" s="8" t="s">
        <v>119</v>
      </c>
      <c r="U97" s="8" t="s">
        <v>119</v>
      </c>
      <c r="V97" s="8" t="s">
        <v>119</v>
      </c>
      <c r="W97" s="8" t="s">
        <v>119</v>
      </c>
      <c r="X97" s="8"/>
      <c r="Y97" s="8"/>
    </row>
    <row r="98" spans="1:25" s="2" customFormat="1" x14ac:dyDescent="0.25">
      <c r="A98" s="2" t="s">
        <v>24</v>
      </c>
      <c r="B98" s="3" t="s">
        <v>25</v>
      </c>
      <c r="C98" s="3" t="s">
        <v>17</v>
      </c>
      <c r="D98" s="3" t="s">
        <v>18</v>
      </c>
      <c r="E98" s="3">
        <v>2019</v>
      </c>
      <c r="F98" s="3">
        <v>1</v>
      </c>
      <c r="G98" s="3">
        <v>25</v>
      </c>
      <c r="H98" s="3">
        <v>11</v>
      </c>
      <c r="I98" s="2" t="s">
        <v>116</v>
      </c>
      <c r="J98" s="2">
        <v>31</v>
      </c>
      <c r="K98" s="2" t="s">
        <v>122</v>
      </c>
      <c r="L98" s="2">
        <v>1</v>
      </c>
      <c r="M98" s="2">
        <v>22</v>
      </c>
      <c r="N98" s="4">
        <v>1059.0999999999999</v>
      </c>
      <c r="O98" s="4">
        <v>15.3</v>
      </c>
      <c r="P98" s="2">
        <v>2</v>
      </c>
      <c r="Q98" s="6">
        <v>44.18</v>
      </c>
      <c r="R98" s="6">
        <v>21.98</v>
      </c>
      <c r="S98" s="6">
        <f>Q98+R98</f>
        <v>66.16</v>
      </c>
      <c r="T98" s="6">
        <f t="shared" ref="T98:U100" si="24">Q98*0.87</f>
        <v>38.436599999999999</v>
      </c>
      <c r="U98" s="6">
        <f t="shared" si="24"/>
        <v>19.122600000000002</v>
      </c>
      <c r="V98" s="8" t="s">
        <v>119</v>
      </c>
      <c r="W98" s="8" t="s">
        <v>119</v>
      </c>
      <c r="X98" s="8"/>
      <c r="Y98" s="8"/>
    </row>
    <row r="99" spans="1:25" s="2" customFormat="1" x14ac:dyDescent="0.25">
      <c r="A99" s="2" t="s">
        <v>102</v>
      </c>
      <c r="B99" s="3" t="s">
        <v>25</v>
      </c>
      <c r="C99" s="3" t="s">
        <v>17</v>
      </c>
      <c r="D99" s="3" t="s">
        <v>18</v>
      </c>
      <c r="E99" s="3">
        <v>2019</v>
      </c>
      <c r="F99" s="3">
        <v>2</v>
      </c>
      <c r="G99" s="3">
        <v>25</v>
      </c>
      <c r="H99" s="3">
        <v>45</v>
      </c>
      <c r="I99" s="2" t="s">
        <v>116</v>
      </c>
      <c r="J99" s="2">
        <v>33</v>
      </c>
      <c r="K99" s="2" t="s">
        <v>122</v>
      </c>
      <c r="L99" s="2">
        <v>1</v>
      </c>
      <c r="M99" s="2">
        <v>22</v>
      </c>
      <c r="N99" s="4">
        <v>868.8</v>
      </c>
      <c r="O99" s="4">
        <v>13.4</v>
      </c>
      <c r="P99" s="2">
        <v>2</v>
      </c>
      <c r="Q99" s="6">
        <v>43.68</v>
      </c>
      <c r="R99" s="6">
        <v>22.66</v>
      </c>
      <c r="S99" s="6">
        <f>Q99+R99</f>
        <v>66.34</v>
      </c>
      <c r="T99" s="6">
        <f t="shared" si="24"/>
        <v>38.001599999999996</v>
      </c>
      <c r="U99" s="6">
        <f t="shared" si="24"/>
        <v>19.714200000000002</v>
      </c>
      <c r="V99" s="8" t="s">
        <v>119</v>
      </c>
      <c r="W99" s="8" t="s">
        <v>119</v>
      </c>
      <c r="X99" s="8"/>
      <c r="Y99" s="8"/>
    </row>
    <row r="100" spans="1:25" s="2" customFormat="1" x14ac:dyDescent="0.25">
      <c r="A100" s="2" t="s">
        <v>115</v>
      </c>
      <c r="B100" s="3" t="s">
        <v>25</v>
      </c>
      <c r="C100" s="3" t="s">
        <v>17</v>
      </c>
      <c r="D100" s="3" t="s">
        <v>18</v>
      </c>
      <c r="E100" s="3">
        <v>2019</v>
      </c>
      <c r="F100" s="3">
        <v>3</v>
      </c>
      <c r="G100" s="3">
        <v>25</v>
      </c>
      <c r="H100" s="3">
        <v>66</v>
      </c>
      <c r="I100" s="2" t="s">
        <v>116</v>
      </c>
      <c r="J100" s="2">
        <v>30</v>
      </c>
      <c r="K100" s="2" t="s">
        <v>122</v>
      </c>
      <c r="L100" s="8" t="s">
        <v>119</v>
      </c>
      <c r="M100" s="8" t="s">
        <v>119</v>
      </c>
      <c r="N100" s="4">
        <v>1279.8</v>
      </c>
      <c r="O100" s="4">
        <v>13.8</v>
      </c>
      <c r="P100" s="2">
        <v>2</v>
      </c>
      <c r="Q100" s="6">
        <v>44.22</v>
      </c>
      <c r="R100" s="6">
        <v>22.13</v>
      </c>
      <c r="S100" s="6">
        <f>Q100+R100</f>
        <v>66.349999999999994</v>
      </c>
      <c r="T100" s="6">
        <f t="shared" si="24"/>
        <v>38.471399999999996</v>
      </c>
      <c r="U100" s="6">
        <f t="shared" si="24"/>
        <v>19.2531</v>
      </c>
      <c r="V100" s="8" t="s">
        <v>119</v>
      </c>
      <c r="W100" s="8" t="s">
        <v>119</v>
      </c>
      <c r="X100" s="8"/>
      <c r="Y100" s="8"/>
    </row>
    <row r="101" spans="1:25" s="2" customFormat="1" x14ac:dyDescent="0.25">
      <c r="A101" s="2" t="s">
        <v>27</v>
      </c>
      <c r="B101" s="3" t="s">
        <v>25</v>
      </c>
      <c r="C101" s="3" t="s">
        <v>17</v>
      </c>
      <c r="D101" s="3" t="s">
        <v>18</v>
      </c>
      <c r="E101" s="3">
        <v>2019</v>
      </c>
      <c r="F101" s="3">
        <v>4</v>
      </c>
      <c r="G101" s="3">
        <v>25</v>
      </c>
      <c r="H101" s="3">
        <v>89</v>
      </c>
      <c r="I101" s="2" t="s">
        <v>116</v>
      </c>
      <c r="J101" s="8" t="s">
        <v>119</v>
      </c>
      <c r="K101" s="2" t="s">
        <v>122</v>
      </c>
      <c r="L101" s="8" t="s">
        <v>119</v>
      </c>
      <c r="M101" s="8" t="s">
        <v>119</v>
      </c>
      <c r="N101" s="4">
        <v>1372.7</v>
      </c>
      <c r="O101" s="4">
        <v>13.1</v>
      </c>
      <c r="P101" s="2">
        <v>1.5</v>
      </c>
      <c r="Q101" s="8" t="s">
        <v>119</v>
      </c>
      <c r="R101" s="8" t="s">
        <v>119</v>
      </c>
      <c r="S101" s="8" t="s">
        <v>119</v>
      </c>
      <c r="T101" s="8" t="s">
        <v>119</v>
      </c>
      <c r="U101" s="8" t="s">
        <v>119</v>
      </c>
      <c r="V101" s="8" t="s">
        <v>119</v>
      </c>
      <c r="W101" s="8" t="s">
        <v>119</v>
      </c>
      <c r="X101" s="8"/>
      <c r="Y101" s="8"/>
    </row>
    <row r="102" spans="1:25" x14ac:dyDescent="0.25">
      <c r="A102" s="8"/>
      <c r="B102" s="8"/>
      <c r="C102" s="8"/>
      <c r="D102" s="8"/>
      <c r="E102" s="8"/>
      <c r="F102" s="8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8"/>
      <c r="S102" s="8"/>
      <c r="T102" s="8"/>
      <c r="U102" s="8"/>
      <c r="V102" s="8"/>
      <c r="W102" s="8"/>
      <c r="X102" s="8"/>
      <c r="Y102" s="8"/>
    </row>
  </sheetData>
  <sortState xmlns:xlrd2="http://schemas.microsoft.com/office/spreadsheetml/2017/richdata2" ref="B2:W101">
    <sortCondition ref="G2:G101"/>
    <sortCondition ref="F2:F101"/>
  </sortState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049" r:id="rId4" name="cmdRun">
          <controlPr defaultSize="0" print="0" autoLine="0" r:id="rId5">
            <anchor moveWithCells="1">
              <from>
                <xdr:col>23</xdr:col>
                <xdr:colOff>28575</xdr:colOff>
                <xdr:row>64</xdr:row>
                <xdr:rowOff>9525</xdr:rowOff>
              </from>
              <to>
                <xdr:col>25</xdr:col>
                <xdr:colOff>276225</xdr:colOff>
                <xdr:row>66</xdr:row>
                <xdr:rowOff>66675</xdr:rowOff>
              </to>
            </anchor>
          </controlPr>
        </control>
      </mc:Choice>
      <mc:Fallback>
        <control shapeId="2049" r:id="rId4" name="cmdRu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878B91-D595-4F05-AF4C-45553DA9425D}">
  <dimension ref="A1:Z102"/>
  <sheetViews>
    <sheetView tabSelected="1" zoomScale="90" zoomScaleNormal="90" workbookViewId="0">
      <selection activeCell="Y1" sqref="Y1"/>
    </sheetView>
  </sheetViews>
  <sheetFormatPr defaultColWidth="9.33203125" defaultRowHeight="15.75" x14ac:dyDescent="0.25"/>
  <cols>
    <col min="1" max="1" width="11.6640625" style="1" bestFit="1" customWidth="1"/>
    <col min="2" max="2" width="8.33203125" style="1" customWidth="1"/>
    <col min="3" max="3" width="5.83203125" style="1" customWidth="1"/>
    <col min="4" max="4" width="13.6640625" style="1" customWidth="1"/>
    <col min="5" max="6" width="6.6640625" style="1" customWidth="1"/>
    <col min="7" max="7" width="7.1640625" style="1" customWidth="1"/>
    <col min="8" max="8" width="6.33203125" style="1" customWidth="1"/>
    <col min="9" max="9" width="6.83203125" style="1" customWidth="1"/>
    <col min="10" max="10" width="6.33203125" style="1" customWidth="1"/>
    <col min="11" max="11" width="9.33203125" style="1" customWidth="1"/>
    <col min="12" max="12" width="9.33203125" style="1"/>
    <col min="13" max="13" width="7.33203125" style="1" customWidth="1"/>
    <col min="14" max="14" width="9.33203125" style="1" customWidth="1"/>
    <col min="15" max="16" width="9" style="1" customWidth="1"/>
    <col min="17" max="17" width="7.1640625" style="1" customWidth="1"/>
    <col min="18" max="19" width="8" style="1" customWidth="1"/>
    <col min="20" max="22" width="7.1640625" style="7" bestFit="1" customWidth="1"/>
    <col min="23" max="23" width="6.83203125" style="1" customWidth="1"/>
    <col min="24" max="24" width="10.83203125" style="1" customWidth="1"/>
    <col min="25" max="25" width="8.33203125" style="1" customWidth="1"/>
    <col min="26" max="16384" width="9.33203125" style="1"/>
  </cols>
  <sheetData>
    <row r="1" spans="1:26" s="2" customFormat="1" x14ac:dyDescent="0.25">
      <c r="A1" s="3" t="s">
        <v>2</v>
      </c>
      <c r="B1" s="3" t="s">
        <v>3</v>
      </c>
      <c r="C1" s="3" t="s">
        <v>1</v>
      </c>
      <c r="D1" s="3" t="s">
        <v>0</v>
      </c>
      <c r="E1" s="3" t="s">
        <v>5</v>
      </c>
      <c r="F1" s="3" t="s">
        <v>4</v>
      </c>
      <c r="G1" s="3" t="s">
        <v>6</v>
      </c>
      <c r="H1" s="3" t="s">
        <v>8</v>
      </c>
      <c r="I1" s="3" t="s">
        <v>10</v>
      </c>
      <c r="J1" s="3" t="s">
        <v>11</v>
      </c>
      <c r="K1" s="3" t="s">
        <v>164</v>
      </c>
      <c r="L1" s="2" t="s">
        <v>13</v>
      </c>
      <c r="M1" s="3" t="s">
        <v>125</v>
      </c>
      <c r="N1" s="5" t="s">
        <v>161</v>
      </c>
      <c r="O1" s="5" t="s">
        <v>162</v>
      </c>
      <c r="P1" s="5" t="s">
        <v>163</v>
      </c>
      <c r="Q1" s="3" t="s">
        <v>7</v>
      </c>
      <c r="R1" s="3" t="s">
        <v>9</v>
      </c>
      <c r="S1" s="3"/>
      <c r="T1" s="5" t="s">
        <v>165</v>
      </c>
      <c r="U1" s="5" t="s">
        <v>166</v>
      </c>
      <c r="V1" s="5" t="s">
        <v>167</v>
      </c>
      <c r="W1" s="3" t="s">
        <v>14</v>
      </c>
      <c r="X1" s="3" t="s">
        <v>128</v>
      </c>
      <c r="Y1" s="8"/>
      <c r="Z1" s="8"/>
    </row>
    <row r="2" spans="1:26" s="2" customFormat="1" x14ac:dyDescent="0.25">
      <c r="A2" s="3" t="s">
        <v>18</v>
      </c>
      <c r="B2" s="3">
        <v>2019</v>
      </c>
      <c r="C2" s="3" t="s">
        <v>17</v>
      </c>
      <c r="D2" s="3" t="s">
        <v>139</v>
      </c>
      <c r="E2" s="3">
        <v>1</v>
      </c>
      <c r="F2" s="3">
        <v>1</v>
      </c>
      <c r="G2" s="3">
        <v>21</v>
      </c>
      <c r="H2" s="2">
        <v>25</v>
      </c>
      <c r="I2" s="2">
        <v>1</v>
      </c>
      <c r="J2" s="2">
        <v>20</v>
      </c>
      <c r="K2" s="4">
        <v>1135.5999999999999</v>
      </c>
      <c r="L2" s="4">
        <v>16.2</v>
      </c>
      <c r="M2" s="2">
        <v>2</v>
      </c>
      <c r="N2" s="6">
        <v>37.497</v>
      </c>
      <c r="O2" s="6">
        <v>20.3841</v>
      </c>
      <c r="P2" s="6">
        <v>57.881100000000004</v>
      </c>
      <c r="Q2" s="2" t="s">
        <v>116</v>
      </c>
      <c r="R2" s="2" t="s">
        <v>123</v>
      </c>
      <c r="T2" s="6">
        <v>43.1</v>
      </c>
      <c r="U2" s="6">
        <v>23.43</v>
      </c>
      <c r="V2" s="6">
        <v>66.53</v>
      </c>
      <c r="W2" s="8" t="s">
        <v>119</v>
      </c>
      <c r="X2" s="8" t="s">
        <v>119</v>
      </c>
      <c r="Y2" s="8"/>
      <c r="Z2" s="8"/>
    </row>
    <row r="3" spans="1:26" s="2" customFormat="1" x14ac:dyDescent="0.25">
      <c r="A3" s="3" t="s">
        <v>18</v>
      </c>
      <c r="B3" s="3">
        <v>2019</v>
      </c>
      <c r="C3" s="3" t="s">
        <v>17</v>
      </c>
      <c r="D3" s="3" t="s">
        <v>139</v>
      </c>
      <c r="E3" s="3">
        <v>1</v>
      </c>
      <c r="F3" s="3">
        <v>2</v>
      </c>
      <c r="G3" s="3">
        <v>33</v>
      </c>
      <c r="H3" s="2">
        <v>27</v>
      </c>
      <c r="I3" s="2">
        <v>1</v>
      </c>
      <c r="J3" s="2">
        <v>19</v>
      </c>
      <c r="K3" s="4" t="s">
        <v>119</v>
      </c>
      <c r="L3" s="4">
        <v>14.5</v>
      </c>
      <c r="M3" s="2">
        <v>3.5</v>
      </c>
      <c r="N3" s="6">
        <v>39.924300000000002</v>
      </c>
      <c r="O3" s="6">
        <v>19.331399999999999</v>
      </c>
      <c r="P3" s="6">
        <v>59.255700000000004</v>
      </c>
      <c r="Q3" s="2" t="s">
        <v>116</v>
      </c>
      <c r="R3" s="2" t="s">
        <v>123</v>
      </c>
      <c r="T3" s="6">
        <v>45.89</v>
      </c>
      <c r="U3" s="6">
        <v>22.22</v>
      </c>
      <c r="V3" s="6">
        <v>68.11</v>
      </c>
      <c r="W3" s="8" t="s">
        <v>119</v>
      </c>
      <c r="X3" s="2" t="s">
        <v>126</v>
      </c>
      <c r="Y3" s="8"/>
      <c r="Z3" s="8"/>
    </row>
    <row r="4" spans="1:26" s="2" customFormat="1" x14ac:dyDescent="0.25">
      <c r="A4" s="3" t="s">
        <v>18</v>
      </c>
      <c r="B4" s="3">
        <v>2019</v>
      </c>
      <c r="C4" s="3" t="s">
        <v>17</v>
      </c>
      <c r="D4" s="3" t="s">
        <v>139</v>
      </c>
      <c r="E4" s="3">
        <v>1</v>
      </c>
      <c r="F4" s="3">
        <v>3</v>
      </c>
      <c r="G4" s="3">
        <v>58</v>
      </c>
      <c r="H4" s="2">
        <v>26</v>
      </c>
      <c r="I4" s="8" t="s">
        <v>119</v>
      </c>
      <c r="J4" s="8" t="s">
        <v>119</v>
      </c>
      <c r="K4" s="4">
        <v>1122</v>
      </c>
      <c r="L4" s="4">
        <v>15.4</v>
      </c>
      <c r="M4" s="2">
        <v>2.5</v>
      </c>
      <c r="N4" s="6">
        <v>38.845500000000001</v>
      </c>
      <c r="O4" s="6">
        <v>20.131800000000002</v>
      </c>
      <c r="P4" s="6">
        <v>58.9773</v>
      </c>
      <c r="Q4" s="2" t="s">
        <v>116</v>
      </c>
      <c r="R4" s="2" t="s">
        <v>123</v>
      </c>
      <c r="T4" s="6">
        <v>44.65</v>
      </c>
      <c r="U4" s="6">
        <v>23.14</v>
      </c>
      <c r="V4" s="6">
        <v>67.789999999999992</v>
      </c>
      <c r="W4" s="8" t="s">
        <v>119</v>
      </c>
      <c r="X4" s="8" t="s">
        <v>119</v>
      </c>
      <c r="Y4" s="8"/>
      <c r="Z4" s="8"/>
    </row>
    <row r="5" spans="1:26" s="2" customFormat="1" x14ac:dyDescent="0.25">
      <c r="A5" s="3" t="s">
        <v>18</v>
      </c>
      <c r="B5" s="3">
        <v>2019</v>
      </c>
      <c r="C5" s="3" t="s">
        <v>17</v>
      </c>
      <c r="D5" s="3" t="s">
        <v>139</v>
      </c>
      <c r="E5" s="3">
        <v>1</v>
      </c>
      <c r="F5" s="3">
        <v>4</v>
      </c>
      <c r="G5" s="3">
        <v>80</v>
      </c>
      <c r="H5" s="8" t="s">
        <v>119</v>
      </c>
      <c r="I5" s="8" t="s">
        <v>119</v>
      </c>
      <c r="J5" s="8" t="s">
        <v>119</v>
      </c>
      <c r="K5" s="4">
        <v>1161.5</v>
      </c>
      <c r="L5" s="4">
        <v>15.9</v>
      </c>
      <c r="M5" s="2">
        <v>2</v>
      </c>
      <c r="N5" s="8" t="s">
        <v>119</v>
      </c>
      <c r="O5" s="8" t="s">
        <v>119</v>
      </c>
      <c r="P5" s="6" t="s">
        <v>119</v>
      </c>
      <c r="Q5" s="2" t="s">
        <v>116</v>
      </c>
      <c r="R5" s="2" t="s">
        <v>123</v>
      </c>
      <c r="T5" s="8" t="s">
        <v>119</v>
      </c>
      <c r="U5" s="8" t="s">
        <v>119</v>
      </c>
      <c r="V5" s="8" t="s">
        <v>119</v>
      </c>
      <c r="W5" s="8" t="s">
        <v>119</v>
      </c>
      <c r="X5" s="8" t="s">
        <v>119</v>
      </c>
      <c r="Y5" s="8"/>
      <c r="Z5" s="8"/>
    </row>
    <row r="6" spans="1:26" s="2" customFormat="1" x14ac:dyDescent="0.25">
      <c r="A6" s="3" t="s">
        <v>18</v>
      </c>
      <c r="B6" s="3">
        <v>2019</v>
      </c>
      <c r="C6" s="3" t="s">
        <v>17</v>
      </c>
      <c r="D6" s="3" t="s">
        <v>140</v>
      </c>
      <c r="E6" s="3">
        <v>2</v>
      </c>
      <c r="F6" s="3">
        <v>1</v>
      </c>
      <c r="G6" s="3">
        <v>13</v>
      </c>
      <c r="H6" s="2">
        <v>27</v>
      </c>
      <c r="I6" s="2">
        <v>1.5</v>
      </c>
      <c r="J6" s="2">
        <v>20</v>
      </c>
      <c r="K6" s="4">
        <v>989.6</v>
      </c>
      <c r="L6" s="4">
        <v>15.8</v>
      </c>
      <c r="M6" s="2">
        <v>2.5</v>
      </c>
      <c r="N6" s="6">
        <v>36.461699999999993</v>
      </c>
      <c r="O6" s="6">
        <v>20.227499999999999</v>
      </c>
      <c r="P6" s="6">
        <v>56.689199999999992</v>
      </c>
      <c r="Q6" s="2" t="s">
        <v>116</v>
      </c>
      <c r="R6" s="2" t="s">
        <v>123</v>
      </c>
      <c r="T6" s="6">
        <v>41.91</v>
      </c>
      <c r="U6" s="6">
        <v>23.25</v>
      </c>
      <c r="V6" s="6">
        <v>65.16</v>
      </c>
      <c r="W6" s="8" t="s">
        <v>119</v>
      </c>
      <c r="X6" s="8" t="s">
        <v>119</v>
      </c>
      <c r="Y6" s="8"/>
      <c r="Z6" s="8"/>
    </row>
    <row r="7" spans="1:26" s="2" customFormat="1" x14ac:dyDescent="0.25">
      <c r="A7" s="3" t="s">
        <v>18</v>
      </c>
      <c r="B7" s="3">
        <v>2019</v>
      </c>
      <c r="C7" s="3" t="s">
        <v>17</v>
      </c>
      <c r="D7" s="3" t="s">
        <v>140</v>
      </c>
      <c r="E7" s="3">
        <v>2</v>
      </c>
      <c r="F7" s="3">
        <v>2</v>
      </c>
      <c r="G7" s="3">
        <v>36</v>
      </c>
      <c r="H7" s="2">
        <v>25</v>
      </c>
      <c r="I7" s="2">
        <v>1</v>
      </c>
      <c r="J7" s="2">
        <v>19</v>
      </c>
      <c r="K7" s="4" t="s">
        <v>119</v>
      </c>
      <c r="L7" s="4">
        <v>14.4</v>
      </c>
      <c r="M7" s="2">
        <v>2</v>
      </c>
      <c r="N7" s="6">
        <v>36.627000000000002</v>
      </c>
      <c r="O7" s="6">
        <v>20.314500000000002</v>
      </c>
      <c r="P7" s="6">
        <v>56.941500000000005</v>
      </c>
      <c r="Q7" s="2" t="s">
        <v>116</v>
      </c>
      <c r="R7" s="2" t="s">
        <v>123</v>
      </c>
      <c r="T7" s="6">
        <v>42.1</v>
      </c>
      <c r="U7" s="6">
        <v>23.35</v>
      </c>
      <c r="V7" s="6">
        <v>65.45</v>
      </c>
      <c r="W7" s="8" t="s">
        <v>119</v>
      </c>
      <c r="X7" s="8" t="s">
        <v>119</v>
      </c>
      <c r="Y7" s="8"/>
      <c r="Z7" s="8"/>
    </row>
    <row r="8" spans="1:26" s="2" customFormat="1" x14ac:dyDescent="0.25">
      <c r="A8" s="3" t="s">
        <v>18</v>
      </c>
      <c r="B8" s="3">
        <v>2019</v>
      </c>
      <c r="C8" s="3" t="s">
        <v>17</v>
      </c>
      <c r="D8" s="3" t="s">
        <v>140</v>
      </c>
      <c r="E8" s="3">
        <v>2</v>
      </c>
      <c r="F8" s="3">
        <v>3</v>
      </c>
      <c r="G8" s="3">
        <v>67</v>
      </c>
      <c r="H8" s="2">
        <v>26</v>
      </c>
      <c r="I8" s="8" t="s">
        <v>119</v>
      </c>
      <c r="J8" s="8" t="s">
        <v>119</v>
      </c>
      <c r="K8" s="4">
        <v>1274.7</v>
      </c>
      <c r="L8" s="4">
        <v>14.6</v>
      </c>
      <c r="M8" s="2">
        <v>1.5</v>
      </c>
      <c r="N8" s="6">
        <v>35.704799999999999</v>
      </c>
      <c r="O8" s="6">
        <v>20.9148</v>
      </c>
      <c r="P8" s="6">
        <v>56.619599999999998</v>
      </c>
      <c r="Q8" s="2" t="s">
        <v>116</v>
      </c>
      <c r="R8" s="2" t="s">
        <v>123</v>
      </c>
      <c r="T8" s="6">
        <v>41.04</v>
      </c>
      <c r="U8" s="6">
        <v>24.04</v>
      </c>
      <c r="V8" s="6">
        <v>65.08</v>
      </c>
      <c r="W8" s="8" t="s">
        <v>119</v>
      </c>
      <c r="X8" s="8" t="s">
        <v>119</v>
      </c>
      <c r="Y8" s="8"/>
      <c r="Z8" s="8"/>
    </row>
    <row r="9" spans="1:26" s="2" customFormat="1" x14ac:dyDescent="0.25">
      <c r="A9" s="3" t="s">
        <v>18</v>
      </c>
      <c r="B9" s="3">
        <v>2019</v>
      </c>
      <c r="C9" s="3" t="s">
        <v>17</v>
      </c>
      <c r="D9" s="3" t="s">
        <v>140</v>
      </c>
      <c r="E9" s="3">
        <v>2</v>
      </c>
      <c r="F9" s="3">
        <v>4</v>
      </c>
      <c r="G9" s="3">
        <v>81</v>
      </c>
      <c r="H9" s="8" t="s">
        <v>119</v>
      </c>
      <c r="I9" s="8" t="s">
        <v>119</v>
      </c>
      <c r="J9" s="8" t="s">
        <v>119</v>
      </c>
      <c r="K9" s="4">
        <v>1287.7</v>
      </c>
      <c r="L9" s="4">
        <v>15.8</v>
      </c>
      <c r="M9" s="2">
        <v>1.5</v>
      </c>
      <c r="N9" s="8" t="s">
        <v>119</v>
      </c>
      <c r="O9" s="8" t="s">
        <v>119</v>
      </c>
      <c r="P9" s="6" t="s">
        <v>119</v>
      </c>
      <c r="Q9" s="2" t="s">
        <v>116</v>
      </c>
      <c r="R9" s="2" t="s">
        <v>123</v>
      </c>
      <c r="T9" s="8" t="s">
        <v>119</v>
      </c>
      <c r="U9" s="8" t="s">
        <v>119</v>
      </c>
      <c r="V9" s="8" t="s">
        <v>119</v>
      </c>
      <c r="W9" s="8" t="s">
        <v>119</v>
      </c>
      <c r="X9" s="8" t="s">
        <v>119</v>
      </c>
      <c r="Y9" s="8"/>
      <c r="Z9" s="8"/>
    </row>
    <row r="10" spans="1:26" s="2" customFormat="1" x14ac:dyDescent="0.25">
      <c r="A10" s="3" t="s">
        <v>18</v>
      </c>
      <c r="B10" s="3">
        <v>2019</v>
      </c>
      <c r="C10" s="3" t="s">
        <v>17</v>
      </c>
      <c r="D10" s="3" t="s">
        <v>141</v>
      </c>
      <c r="E10" s="3">
        <v>3</v>
      </c>
      <c r="F10" s="3">
        <v>1</v>
      </c>
      <c r="G10" s="3">
        <v>9</v>
      </c>
      <c r="H10" s="2">
        <v>30</v>
      </c>
      <c r="I10" s="2">
        <v>3</v>
      </c>
      <c r="J10" s="2">
        <v>41</v>
      </c>
      <c r="K10" s="4">
        <v>827.2</v>
      </c>
      <c r="L10" s="4">
        <v>15.4</v>
      </c>
      <c r="M10" s="2">
        <v>4.5</v>
      </c>
      <c r="N10" s="6">
        <v>38.419199999999996</v>
      </c>
      <c r="O10" s="6">
        <v>18.713700000000003</v>
      </c>
      <c r="P10" s="6">
        <v>57.132899999999999</v>
      </c>
      <c r="Q10" s="2" t="s">
        <v>116</v>
      </c>
      <c r="R10" s="2" t="s">
        <v>122</v>
      </c>
      <c r="T10" s="6">
        <v>44.16</v>
      </c>
      <c r="U10" s="6">
        <v>21.51</v>
      </c>
      <c r="V10" s="6">
        <v>65.67</v>
      </c>
      <c r="W10" s="8" t="s">
        <v>119</v>
      </c>
      <c r="X10" s="2" t="s">
        <v>126</v>
      </c>
      <c r="Y10" s="8"/>
      <c r="Z10" s="8"/>
    </row>
    <row r="11" spans="1:26" s="2" customFormat="1" x14ac:dyDescent="0.25">
      <c r="A11" s="3" t="s">
        <v>18</v>
      </c>
      <c r="B11" s="3">
        <v>2019</v>
      </c>
      <c r="C11" s="3" t="s">
        <v>17</v>
      </c>
      <c r="D11" s="3" t="s">
        <v>141</v>
      </c>
      <c r="E11" s="3">
        <v>3</v>
      </c>
      <c r="F11" s="3">
        <v>2</v>
      </c>
      <c r="G11" s="3">
        <v>47</v>
      </c>
      <c r="H11" s="2">
        <v>28</v>
      </c>
      <c r="I11" s="2">
        <v>2.5</v>
      </c>
      <c r="J11" s="2">
        <v>44</v>
      </c>
      <c r="K11" s="4">
        <v>932.2</v>
      </c>
      <c r="L11" s="4">
        <v>14.4</v>
      </c>
      <c r="M11" s="2">
        <v>4</v>
      </c>
      <c r="N11" s="6">
        <v>37.932000000000002</v>
      </c>
      <c r="O11" s="6">
        <v>19.331399999999999</v>
      </c>
      <c r="P11" s="6">
        <v>57.263400000000004</v>
      </c>
      <c r="Q11" s="2" t="s">
        <v>116</v>
      </c>
      <c r="R11" s="2" t="s">
        <v>122</v>
      </c>
      <c r="T11" s="6">
        <v>43.6</v>
      </c>
      <c r="U11" s="6">
        <v>22.22</v>
      </c>
      <c r="V11" s="6">
        <v>65.819999999999993</v>
      </c>
      <c r="W11" s="8" t="s">
        <v>119</v>
      </c>
      <c r="X11" s="2" t="s">
        <v>126</v>
      </c>
      <c r="Y11" s="8"/>
      <c r="Z11" s="8"/>
    </row>
    <row r="12" spans="1:26" s="2" customFormat="1" x14ac:dyDescent="0.25">
      <c r="A12" s="3" t="s">
        <v>18</v>
      </c>
      <c r="B12" s="3">
        <v>2019</v>
      </c>
      <c r="C12" s="3" t="s">
        <v>17</v>
      </c>
      <c r="D12" s="3" t="s">
        <v>141</v>
      </c>
      <c r="E12" s="3">
        <v>3</v>
      </c>
      <c r="F12" s="3">
        <v>3</v>
      </c>
      <c r="G12" s="3">
        <v>56</v>
      </c>
      <c r="H12" s="2">
        <v>26</v>
      </c>
      <c r="I12" s="8" t="s">
        <v>119</v>
      </c>
      <c r="J12" s="8" t="s">
        <v>119</v>
      </c>
      <c r="K12" s="4">
        <v>1026.7</v>
      </c>
      <c r="L12" s="4">
        <v>14.9</v>
      </c>
      <c r="M12" s="2">
        <v>3</v>
      </c>
      <c r="N12" s="6">
        <v>36.226799999999997</v>
      </c>
      <c r="O12" s="6">
        <v>20.758199999999999</v>
      </c>
      <c r="P12" s="6">
        <v>56.984999999999999</v>
      </c>
      <c r="Q12" s="2" t="s">
        <v>116</v>
      </c>
      <c r="R12" s="2" t="s">
        <v>122</v>
      </c>
      <c r="T12" s="6">
        <v>41.64</v>
      </c>
      <c r="U12" s="6">
        <v>23.86</v>
      </c>
      <c r="V12" s="6">
        <v>65.5</v>
      </c>
      <c r="W12" s="8" t="s">
        <v>119</v>
      </c>
      <c r="X12" s="2" t="s">
        <v>126</v>
      </c>
      <c r="Y12" s="8"/>
      <c r="Z12" s="8"/>
    </row>
    <row r="13" spans="1:26" s="2" customFormat="1" x14ac:dyDescent="0.25">
      <c r="A13" s="3" t="s">
        <v>18</v>
      </c>
      <c r="B13" s="3">
        <v>2019</v>
      </c>
      <c r="C13" s="3" t="s">
        <v>17</v>
      </c>
      <c r="D13" s="3" t="s">
        <v>141</v>
      </c>
      <c r="E13" s="3">
        <v>3</v>
      </c>
      <c r="F13" s="3">
        <v>4</v>
      </c>
      <c r="G13" s="3">
        <v>99</v>
      </c>
      <c r="H13" s="8" t="s">
        <v>119</v>
      </c>
      <c r="I13" s="8" t="s">
        <v>119</v>
      </c>
      <c r="J13" s="8" t="s">
        <v>119</v>
      </c>
      <c r="K13" s="4">
        <v>974.7</v>
      </c>
      <c r="L13" s="4">
        <v>16</v>
      </c>
      <c r="M13" s="2">
        <v>3</v>
      </c>
      <c r="N13" s="8" t="s">
        <v>119</v>
      </c>
      <c r="O13" s="8" t="s">
        <v>119</v>
      </c>
      <c r="P13" s="6" t="s">
        <v>119</v>
      </c>
      <c r="Q13" s="2" t="s">
        <v>116</v>
      </c>
      <c r="R13" s="2" t="s">
        <v>122</v>
      </c>
      <c r="T13" s="8" t="s">
        <v>119</v>
      </c>
      <c r="U13" s="8" t="s">
        <v>119</v>
      </c>
      <c r="V13" s="8" t="s">
        <v>119</v>
      </c>
      <c r="W13" s="8" t="s">
        <v>119</v>
      </c>
      <c r="X13" s="2" t="s">
        <v>126</v>
      </c>
      <c r="Y13" s="8"/>
      <c r="Z13" s="8"/>
    </row>
    <row r="14" spans="1:26" s="2" customFormat="1" x14ac:dyDescent="0.25">
      <c r="A14" s="3" t="s">
        <v>18</v>
      </c>
      <c r="B14" s="3">
        <v>2019</v>
      </c>
      <c r="C14" s="3" t="s">
        <v>17</v>
      </c>
      <c r="D14" s="3" t="s">
        <v>142</v>
      </c>
      <c r="E14" s="3">
        <v>4</v>
      </c>
      <c r="F14" s="3">
        <v>1</v>
      </c>
      <c r="G14" s="3">
        <v>15</v>
      </c>
      <c r="H14" s="2">
        <v>20</v>
      </c>
      <c r="I14" s="2">
        <v>1.5</v>
      </c>
      <c r="J14" s="2">
        <v>19</v>
      </c>
      <c r="K14" s="4">
        <v>983.1</v>
      </c>
      <c r="L14" s="4">
        <v>12.3</v>
      </c>
      <c r="M14" s="2">
        <v>2</v>
      </c>
      <c r="N14" s="6">
        <v>35.844000000000001</v>
      </c>
      <c r="O14" s="6">
        <v>20.619</v>
      </c>
      <c r="P14" s="6">
        <v>56.463000000000001</v>
      </c>
      <c r="Q14" s="2" t="s">
        <v>116</v>
      </c>
      <c r="R14" s="2" t="s">
        <v>123</v>
      </c>
      <c r="T14" s="6">
        <v>41.2</v>
      </c>
      <c r="U14" s="6">
        <v>23.7</v>
      </c>
      <c r="V14" s="6">
        <v>64.900000000000006</v>
      </c>
      <c r="W14" s="8" t="s">
        <v>119</v>
      </c>
      <c r="X14" s="8" t="s">
        <v>119</v>
      </c>
      <c r="Y14" s="8"/>
      <c r="Z14" s="8"/>
    </row>
    <row r="15" spans="1:26" s="2" customFormat="1" x14ac:dyDescent="0.25">
      <c r="A15" s="3" t="s">
        <v>18</v>
      </c>
      <c r="B15" s="3">
        <v>2019</v>
      </c>
      <c r="C15" s="3" t="s">
        <v>17</v>
      </c>
      <c r="D15" s="3" t="s">
        <v>142</v>
      </c>
      <c r="E15" s="3">
        <v>4</v>
      </c>
      <c r="F15" s="3">
        <v>2</v>
      </c>
      <c r="G15" s="3">
        <v>35</v>
      </c>
      <c r="H15" s="2">
        <v>22</v>
      </c>
      <c r="I15" s="2">
        <v>1</v>
      </c>
      <c r="J15" s="2">
        <v>22</v>
      </c>
      <c r="K15" s="4">
        <v>798.1</v>
      </c>
      <c r="L15" s="4">
        <v>11.7</v>
      </c>
      <c r="M15" s="2">
        <v>2</v>
      </c>
      <c r="N15" s="6">
        <v>36.600900000000003</v>
      </c>
      <c r="O15" s="6">
        <v>20.758199999999999</v>
      </c>
      <c r="P15" s="6">
        <v>57.359099999999998</v>
      </c>
      <c r="Q15" s="2" t="s">
        <v>116</v>
      </c>
      <c r="R15" s="2" t="s">
        <v>123</v>
      </c>
      <c r="T15" s="6">
        <v>42.07</v>
      </c>
      <c r="U15" s="6">
        <v>23.86</v>
      </c>
      <c r="V15" s="6">
        <v>65.930000000000007</v>
      </c>
      <c r="W15" s="8" t="s">
        <v>119</v>
      </c>
      <c r="X15" s="8" t="s">
        <v>119</v>
      </c>
      <c r="Y15" s="8"/>
      <c r="Z15" s="8"/>
    </row>
    <row r="16" spans="1:26" s="2" customFormat="1" x14ac:dyDescent="0.25">
      <c r="A16" s="3" t="s">
        <v>18</v>
      </c>
      <c r="B16" s="3">
        <v>2019</v>
      </c>
      <c r="C16" s="3" t="s">
        <v>17</v>
      </c>
      <c r="D16" s="3" t="s">
        <v>142</v>
      </c>
      <c r="E16" s="3">
        <v>4</v>
      </c>
      <c r="F16" s="3">
        <v>3</v>
      </c>
      <c r="G16" s="3">
        <v>59</v>
      </c>
      <c r="H16" s="2">
        <v>25</v>
      </c>
      <c r="I16" s="8" t="s">
        <v>119</v>
      </c>
      <c r="J16" s="8" t="s">
        <v>119</v>
      </c>
      <c r="K16" s="4">
        <v>1291.4000000000001</v>
      </c>
      <c r="L16" s="4">
        <v>15.6</v>
      </c>
      <c r="M16" s="2">
        <v>2.5</v>
      </c>
      <c r="N16" s="6">
        <v>36.6096</v>
      </c>
      <c r="O16" s="6">
        <v>20.549400000000002</v>
      </c>
      <c r="P16" s="6">
        <v>57.159000000000006</v>
      </c>
      <c r="Q16" s="2" t="s">
        <v>116</v>
      </c>
      <c r="R16" s="2" t="s">
        <v>123</v>
      </c>
      <c r="T16" s="6">
        <v>42.08</v>
      </c>
      <c r="U16" s="6">
        <v>23.62</v>
      </c>
      <c r="V16" s="6">
        <v>65.7</v>
      </c>
      <c r="W16" s="8" t="s">
        <v>119</v>
      </c>
      <c r="X16" s="8" t="s">
        <v>119</v>
      </c>
      <c r="Y16" s="8"/>
      <c r="Z16" s="8"/>
    </row>
    <row r="17" spans="1:26" s="2" customFormat="1" x14ac:dyDescent="0.25">
      <c r="A17" s="3" t="s">
        <v>18</v>
      </c>
      <c r="B17" s="3">
        <v>2019</v>
      </c>
      <c r="C17" s="3" t="s">
        <v>17</v>
      </c>
      <c r="D17" s="3" t="s">
        <v>142</v>
      </c>
      <c r="E17" s="3">
        <v>4</v>
      </c>
      <c r="F17" s="3">
        <v>4</v>
      </c>
      <c r="G17" s="3">
        <v>100</v>
      </c>
      <c r="H17" s="8" t="s">
        <v>119</v>
      </c>
      <c r="I17" s="8" t="s">
        <v>119</v>
      </c>
      <c r="J17" s="8" t="s">
        <v>119</v>
      </c>
      <c r="K17" s="4">
        <v>1721.4</v>
      </c>
      <c r="L17" s="4">
        <v>14.6</v>
      </c>
      <c r="M17" s="2">
        <v>2.5</v>
      </c>
      <c r="N17" s="8" t="s">
        <v>119</v>
      </c>
      <c r="O17" s="8" t="s">
        <v>119</v>
      </c>
      <c r="P17" s="6" t="s">
        <v>119</v>
      </c>
      <c r="Q17" s="2" t="s">
        <v>116</v>
      </c>
      <c r="R17" s="2" t="s">
        <v>123</v>
      </c>
      <c r="T17" s="8" t="s">
        <v>119</v>
      </c>
      <c r="U17" s="8" t="s">
        <v>119</v>
      </c>
      <c r="V17" s="8" t="s">
        <v>119</v>
      </c>
      <c r="W17" s="8" t="s">
        <v>119</v>
      </c>
      <c r="X17" s="8" t="s">
        <v>119</v>
      </c>
      <c r="Y17" s="8"/>
      <c r="Z17" s="8"/>
    </row>
    <row r="18" spans="1:26" s="2" customFormat="1" x14ac:dyDescent="0.25">
      <c r="A18" s="3" t="s">
        <v>18</v>
      </c>
      <c r="B18" s="3">
        <v>2019</v>
      </c>
      <c r="C18" s="3" t="s">
        <v>17</v>
      </c>
      <c r="D18" s="3" t="s">
        <v>143</v>
      </c>
      <c r="E18" s="3">
        <v>5</v>
      </c>
      <c r="F18" s="3">
        <v>1</v>
      </c>
      <c r="G18" s="3">
        <v>23</v>
      </c>
      <c r="H18" s="2">
        <v>34</v>
      </c>
      <c r="I18" s="2">
        <v>1</v>
      </c>
      <c r="J18" s="2">
        <v>19</v>
      </c>
      <c r="K18" s="4" t="s">
        <v>119</v>
      </c>
      <c r="L18" s="4">
        <v>20.5</v>
      </c>
      <c r="M18" s="2">
        <v>3</v>
      </c>
      <c r="N18" s="6">
        <v>39.550200000000004</v>
      </c>
      <c r="O18" s="6">
        <v>19.479300000000002</v>
      </c>
      <c r="P18" s="6">
        <v>59.029500000000006</v>
      </c>
      <c r="Q18" s="2" t="s">
        <v>116</v>
      </c>
      <c r="R18" s="2" t="s">
        <v>123</v>
      </c>
      <c r="T18" s="6">
        <v>45.46</v>
      </c>
      <c r="U18" s="6">
        <v>22.39</v>
      </c>
      <c r="V18" s="6">
        <v>67.849999999999994</v>
      </c>
      <c r="W18" s="8" t="s">
        <v>119</v>
      </c>
      <c r="X18" s="8" t="s">
        <v>119</v>
      </c>
      <c r="Y18" s="8"/>
      <c r="Z18" s="8"/>
    </row>
    <row r="19" spans="1:26" s="2" customFormat="1" x14ac:dyDescent="0.25">
      <c r="A19" s="3" t="s">
        <v>18</v>
      </c>
      <c r="B19" s="3">
        <v>2019</v>
      </c>
      <c r="C19" s="3" t="s">
        <v>17</v>
      </c>
      <c r="D19" s="3" t="s">
        <v>143</v>
      </c>
      <c r="E19" s="3">
        <v>5</v>
      </c>
      <c r="F19" s="3">
        <v>2</v>
      </c>
      <c r="G19" s="3">
        <v>41</v>
      </c>
      <c r="H19" s="2">
        <v>27</v>
      </c>
      <c r="I19" s="2">
        <v>1.5</v>
      </c>
      <c r="J19" s="2">
        <v>21</v>
      </c>
      <c r="K19" s="4">
        <v>1147.3</v>
      </c>
      <c r="L19" s="4">
        <v>19.7</v>
      </c>
      <c r="M19" s="2">
        <v>2</v>
      </c>
      <c r="N19" s="6">
        <v>36.209399999999995</v>
      </c>
      <c r="O19" s="6">
        <v>20.871299999999998</v>
      </c>
      <c r="P19" s="6">
        <v>57.080699999999993</v>
      </c>
      <c r="Q19" s="2" t="s">
        <v>116</v>
      </c>
      <c r="R19" s="2" t="s">
        <v>123</v>
      </c>
      <c r="T19" s="6">
        <v>41.62</v>
      </c>
      <c r="U19" s="6">
        <v>23.99</v>
      </c>
      <c r="V19" s="6">
        <v>65.61</v>
      </c>
      <c r="W19" s="8" t="s">
        <v>119</v>
      </c>
      <c r="X19" s="8" t="s">
        <v>119</v>
      </c>
      <c r="Y19" s="8"/>
      <c r="Z19" s="8"/>
    </row>
    <row r="20" spans="1:26" s="2" customFormat="1" x14ac:dyDescent="0.25">
      <c r="A20" s="3" t="s">
        <v>18</v>
      </c>
      <c r="B20" s="3">
        <v>2019</v>
      </c>
      <c r="C20" s="3" t="s">
        <v>17</v>
      </c>
      <c r="D20" s="3" t="s">
        <v>143</v>
      </c>
      <c r="E20" s="3">
        <v>5</v>
      </c>
      <c r="F20" s="3">
        <v>3</v>
      </c>
      <c r="G20" s="3">
        <v>75</v>
      </c>
      <c r="H20" s="2">
        <v>28</v>
      </c>
      <c r="I20" s="8" t="s">
        <v>119</v>
      </c>
      <c r="J20" s="8" t="s">
        <v>119</v>
      </c>
      <c r="K20" s="4">
        <v>1495</v>
      </c>
      <c r="L20" s="4">
        <v>19.8</v>
      </c>
      <c r="M20" s="2">
        <v>2</v>
      </c>
      <c r="N20" s="6">
        <v>36.644399999999997</v>
      </c>
      <c r="O20" s="6">
        <v>20.662500000000001</v>
      </c>
      <c r="P20" s="6">
        <v>57.306899999999999</v>
      </c>
      <c r="Q20" s="2" t="s">
        <v>116</v>
      </c>
      <c r="R20" s="2" t="s">
        <v>123</v>
      </c>
      <c r="T20" s="6">
        <v>42.12</v>
      </c>
      <c r="U20" s="6">
        <v>23.75</v>
      </c>
      <c r="V20" s="6">
        <v>65.87</v>
      </c>
      <c r="W20" s="8" t="s">
        <v>119</v>
      </c>
      <c r="X20" s="8" t="s">
        <v>119</v>
      </c>
      <c r="Y20" s="8"/>
      <c r="Z20" s="8"/>
    </row>
    <row r="21" spans="1:26" s="2" customFormat="1" x14ac:dyDescent="0.25">
      <c r="A21" s="3" t="s">
        <v>18</v>
      </c>
      <c r="B21" s="3">
        <v>2019</v>
      </c>
      <c r="C21" s="3" t="s">
        <v>17</v>
      </c>
      <c r="D21" s="3" t="s">
        <v>143</v>
      </c>
      <c r="E21" s="3">
        <v>5</v>
      </c>
      <c r="F21" s="3">
        <v>4</v>
      </c>
      <c r="G21" s="3">
        <v>78</v>
      </c>
      <c r="H21" s="8" t="s">
        <v>119</v>
      </c>
      <c r="I21" s="8" t="s">
        <v>119</v>
      </c>
      <c r="J21" s="8" t="s">
        <v>119</v>
      </c>
      <c r="K21" s="4">
        <v>951</v>
      </c>
      <c r="L21" s="4">
        <v>19.100000000000001</v>
      </c>
      <c r="M21" s="2">
        <v>2.5</v>
      </c>
      <c r="N21" s="8" t="s">
        <v>119</v>
      </c>
      <c r="O21" s="8" t="s">
        <v>119</v>
      </c>
      <c r="P21" s="6" t="s">
        <v>119</v>
      </c>
      <c r="Q21" s="2" t="s">
        <v>116</v>
      </c>
      <c r="R21" s="2" t="s">
        <v>123</v>
      </c>
      <c r="T21" s="8" t="s">
        <v>119</v>
      </c>
      <c r="U21" s="8" t="s">
        <v>119</v>
      </c>
      <c r="V21" s="8" t="s">
        <v>119</v>
      </c>
      <c r="W21" s="8" t="s">
        <v>119</v>
      </c>
      <c r="X21" s="8" t="s">
        <v>119</v>
      </c>
      <c r="Y21" s="8"/>
      <c r="Z21" s="8"/>
    </row>
    <row r="22" spans="1:26" s="2" customFormat="1" x14ac:dyDescent="0.25">
      <c r="A22" s="3" t="s">
        <v>18</v>
      </c>
      <c r="B22" s="3">
        <v>2019</v>
      </c>
      <c r="C22" s="3" t="s">
        <v>17</v>
      </c>
      <c r="D22" s="3" t="s">
        <v>144</v>
      </c>
      <c r="E22" s="3">
        <v>6</v>
      </c>
      <c r="F22" s="3">
        <v>1</v>
      </c>
      <c r="G22" s="3">
        <v>7</v>
      </c>
      <c r="H22" s="2">
        <v>24</v>
      </c>
      <c r="I22" s="2">
        <v>1</v>
      </c>
      <c r="J22" s="2">
        <v>22</v>
      </c>
      <c r="K22" s="4">
        <v>810.5</v>
      </c>
      <c r="L22" s="4">
        <v>15.5</v>
      </c>
      <c r="M22" s="2">
        <v>2.5</v>
      </c>
      <c r="N22" s="6">
        <v>37.479599999999998</v>
      </c>
      <c r="O22" s="6">
        <v>18.948600000000003</v>
      </c>
      <c r="P22" s="6">
        <v>56.428200000000004</v>
      </c>
      <c r="Q22" s="2" t="s">
        <v>116</v>
      </c>
      <c r="R22" s="2" t="s">
        <v>123</v>
      </c>
      <c r="T22" s="6">
        <v>43.08</v>
      </c>
      <c r="U22" s="6">
        <v>21.78</v>
      </c>
      <c r="V22" s="6">
        <v>64.86</v>
      </c>
      <c r="W22" s="8" t="s">
        <v>119</v>
      </c>
      <c r="X22" s="8" t="s">
        <v>119</v>
      </c>
      <c r="Y22" s="8"/>
      <c r="Z22" s="8"/>
    </row>
    <row r="23" spans="1:26" s="2" customFormat="1" x14ac:dyDescent="0.25">
      <c r="A23" s="3" t="s">
        <v>18</v>
      </c>
      <c r="B23" s="3">
        <v>2019</v>
      </c>
      <c r="C23" s="3" t="s">
        <v>17</v>
      </c>
      <c r="D23" s="3" t="s">
        <v>144</v>
      </c>
      <c r="E23" s="3">
        <v>6</v>
      </c>
      <c r="F23" s="3">
        <v>2</v>
      </c>
      <c r="G23" s="3">
        <v>38</v>
      </c>
      <c r="H23" s="2">
        <v>30</v>
      </c>
      <c r="I23" s="2">
        <v>1</v>
      </c>
      <c r="J23" s="2">
        <v>18</v>
      </c>
      <c r="K23" s="4" t="s">
        <v>119</v>
      </c>
      <c r="L23" s="4">
        <v>18.899999999999999</v>
      </c>
      <c r="M23" s="2">
        <v>3</v>
      </c>
      <c r="N23" s="6">
        <v>42.316800000000001</v>
      </c>
      <c r="O23" s="6">
        <v>17.347799999999999</v>
      </c>
      <c r="P23" s="6">
        <v>59.6646</v>
      </c>
      <c r="Q23" s="2" t="s">
        <v>116</v>
      </c>
      <c r="R23" s="2" t="s">
        <v>123</v>
      </c>
      <c r="T23" s="6">
        <v>48.64</v>
      </c>
      <c r="U23" s="6">
        <v>19.940000000000001</v>
      </c>
      <c r="V23" s="6">
        <v>68.58</v>
      </c>
      <c r="W23" s="8" t="s">
        <v>119</v>
      </c>
      <c r="X23" s="8" t="s">
        <v>119</v>
      </c>
      <c r="Y23" s="8"/>
      <c r="Z23" s="8"/>
    </row>
    <row r="24" spans="1:26" s="2" customFormat="1" x14ac:dyDescent="0.25">
      <c r="A24" s="3" t="s">
        <v>18</v>
      </c>
      <c r="B24" s="3">
        <v>2019</v>
      </c>
      <c r="C24" s="3" t="s">
        <v>17</v>
      </c>
      <c r="D24" s="3" t="s">
        <v>144</v>
      </c>
      <c r="E24" s="3">
        <v>6</v>
      </c>
      <c r="F24" s="3">
        <v>3</v>
      </c>
      <c r="G24" s="3">
        <v>57</v>
      </c>
      <c r="H24" s="2">
        <v>25</v>
      </c>
      <c r="I24" s="8" t="s">
        <v>119</v>
      </c>
      <c r="J24" s="8" t="s">
        <v>119</v>
      </c>
      <c r="K24" s="4">
        <v>817.2</v>
      </c>
      <c r="L24" s="4">
        <v>15.7</v>
      </c>
      <c r="M24" s="2">
        <v>2.5</v>
      </c>
      <c r="N24" s="6">
        <v>39.289199999999994</v>
      </c>
      <c r="O24" s="6">
        <v>18.704999999999998</v>
      </c>
      <c r="P24" s="6">
        <v>57.994199999999992</v>
      </c>
      <c r="Q24" s="2" t="s">
        <v>116</v>
      </c>
      <c r="R24" s="2" t="s">
        <v>123</v>
      </c>
      <c r="T24" s="6">
        <v>45.16</v>
      </c>
      <c r="U24" s="6">
        <v>21.5</v>
      </c>
      <c r="V24" s="6">
        <v>66.66</v>
      </c>
      <c r="W24" s="2" t="s">
        <v>120</v>
      </c>
      <c r="X24" s="8" t="s">
        <v>119</v>
      </c>
      <c r="Y24" s="8"/>
      <c r="Z24" s="8"/>
    </row>
    <row r="25" spans="1:26" s="2" customFormat="1" x14ac:dyDescent="0.25">
      <c r="A25" s="3" t="s">
        <v>18</v>
      </c>
      <c r="B25" s="3">
        <v>2019</v>
      </c>
      <c r="C25" s="3" t="s">
        <v>17</v>
      </c>
      <c r="D25" s="3" t="s">
        <v>144</v>
      </c>
      <c r="E25" s="3">
        <v>6</v>
      </c>
      <c r="F25" s="3">
        <v>4</v>
      </c>
      <c r="G25" s="3">
        <v>76</v>
      </c>
      <c r="H25" s="8" t="s">
        <v>119</v>
      </c>
      <c r="I25" s="8" t="s">
        <v>119</v>
      </c>
      <c r="J25" s="8" t="s">
        <v>119</v>
      </c>
      <c r="K25" s="4" t="s">
        <v>119</v>
      </c>
      <c r="L25" s="4">
        <v>15.2</v>
      </c>
      <c r="M25" s="2">
        <v>3</v>
      </c>
      <c r="N25" s="8" t="s">
        <v>119</v>
      </c>
      <c r="O25" s="8" t="s">
        <v>119</v>
      </c>
      <c r="P25" s="6" t="s">
        <v>119</v>
      </c>
      <c r="Q25" s="2" t="s">
        <v>116</v>
      </c>
      <c r="R25" s="2" t="s">
        <v>123</v>
      </c>
      <c r="T25" s="8" t="s">
        <v>119</v>
      </c>
      <c r="U25" s="8" t="s">
        <v>119</v>
      </c>
      <c r="V25" s="8" t="s">
        <v>119</v>
      </c>
      <c r="W25" s="8" t="s">
        <v>119</v>
      </c>
      <c r="X25" s="2" t="s">
        <v>126</v>
      </c>
      <c r="Y25" s="8"/>
      <c r="Z25" s="8"/>
    </row>
    <row r="26" spans="1:26" s="2" customFormat="1" x14ac:dyDescent="0.25">
      <c r="A26" s="3" t="s">
        <v>18</v>
      </c>
      <c r="B26" s="3">
        <v>2019</v>
      </c>
      <c r="C26" s="3" t="s">
        <v>17</v>
      </c>
      <c r="D26" s="3" t="s">
        <v>145</v>
      </c>
      <c r="E26" s="3">
        <v>7</v>
      </c>
      <c r="F26" s="3">
        <v>1</v>
      </c>
      <c r="G26" s="3">
        <v>5</v>
      </c>
      <c r="H26" s="2">
        <v>24</v>
      </c>
      <c r="I26" s="2">
        <v>1.5</v>
      </c>
      <c r="J26" s="2">
        <v>42</v>
      </c>
      <c r="K26" s="4">
        <v>1089.8</v>
      </c>
      <c r="L26" s="4">
        <v>14.6</v>
      </c>
      <c r="M26" s="2">
        <v>2</v>
      </c>
      <c r="N26" s="6">
        <v>39.402299999999997</v>
      </c>
      <c r="O26" s="6">
        <v>19.227</v>
      </c>
      <c r="P26" s="6">
        <v>58.629300000000001</v>
      </c>
      <c r="Q26" s="2" t="s">
        <v>117</v>
      </c>
      <c r="R26" s="2" t="s">
        <v>122</v>
      </c>
      <c r="T26" s="6">
        <v>45.29</v>
      </c>
      <c r="U26" s="6">
        <v>22.1</v>
      </c>
      <c r="V26" s="6">
        <v>67.39</v>
      </c>
      <c r="W26" s="8" t="s">
        <v>119</v>
      </c>
      <c r="X26" s="8" t="s">
        <v>119</v>
      </c>
      <c r="Y26" s="8"/>
      <c r="Z26" s="8"/>
    </row>
    <row r="27" spans="1:26" s="2" customFormat="1" x14ac:dyDescent="0.25">
      <c r="A27" s="3" t="s">
        <v>18</v>
      </c>
      <c r="B27" s="3">
        <v>2019</v>
      </c>
      <c r="C27" s="3" t="s">
        <v>17</v>
      </c>
      <c r="D27" s="3" t="s">
        <v>145</v>
      </c>
      <c r="E27" s="3">
        <v>7</v>
      </c>
      <c r="F27" s="3">
        <v>2</v>
      </c>
      <c r="G27" s="3">
        <v>48</v>
      </c>
      <c r="H27" s="2">
        <v>33</v>
      </c>
      <c r="I27" s="2">
        <v>2</v>
      </c>
      <c r="J27" s="2">
        <v>36</v>
      </c>
      <c r="K27" s="4">
        <v>643.5</v>
      </c>
      <c r="L27" s="4">
        <v>15.4</v>
      </c>
      <c r="M27" s="2">
        <v>3</v>
      </c>
      <c r="N27" s="6">
        <v>41.690400000000004</v>
      </c>
      <c r="O27" s="6">
        <v>18.861599999999999</v>
      </c>
      <c r="P27" s="6">
        <v>60.552000000000007</v>
      </c>
      <c r="Q27" s="2" t="s">
        <v>117</v>
      </c>
      <c r="R27" s="2" t="s">
        <v>122</v>
      </c>
      <c r="T27" s="6">
        <v>47.92</v>
      </c>
      <c r="U27" s="6">
        <v>21.68</v>
      </c>
      <c r="V27" s="6">
        <v>69.599999999999994</v>
      </c>
      <c r="W27" s="8" t="s">
        <v>119</v>
      </c>
      <c r="X27" s="2" t="s">
        <v>126</v>
      </c>
      <c r="Y27" s="8"/>
      <c r="Z27" s="8"/>
    </row>
    <row r="28" spans="1:26" s="2" customFormat="1" x14ac:dyDescent="0.25">
      <c r="A28" s="3" t="s">
        <v>18</v>
      </c>
      <c r="B28" s="3">
        <v>2019</v>
      </c>
      <c r="C28" s="3" t="s">
        <v>17</v>
      </c>
      <c r="D28" s="3" t="s">
        <v>145</v>
      </c>
      <c r="E28" s="3">
        <v>7</v>
      </c>
      <c r="F28" s="3">
        <v>3</v>
      </c>
      <c r="G28" s="3">
        <v>54</v>
      </c>
      <c r="H28" s="2">
        <v>26</v>
      </c>
      <c r="I28" s="8" t="s">
        <v>119</v>
      </c>
      <c r="J28" s="8" t="s">
        <v>119</v>
      </c>
      <c r="K28" s="4">
        <v>578.20000000000005</v>
      </c>
      <c r="L28" s="4">
        <v>13.8</v>
      </c>
      <c r="M28" s="2">
        <v>2.5</v>
      </c>
      <c r="N28" s="6">
        <v>41.890499999999996</v>
      </c>
      <c r="O28" s="6">
        <v>18.6615</v>
      </c>
      <c r="P28" s="6">
        <v>60.551999999999992</v>
      </c>
      <c r="Q28" s="2" t="s">
        <v>117</v>
      </c>
      <c r="R28" s="2" t="s">
        <v>122</v>
      </c>
      <c r="T28" s="6">
        <v>48.15</v>
      </c>
      <c r="U28" s="6">
        <v>21.45</v>
      </c>
      <c r="V28" s="6">
        <v>69.599999999999994</v>
      </c>
      <c r="W28" s="8" t="s">
        <v>119</v>
      </c>
      <c r="X28" s="2" t="s">
        <v>126</v>
      </c>
      <c r="Y28" s="8"/>
      <c r="Z28" s="8"/>
    </row>
    <row r="29" spans="1:26" s="2" customFormat="1" x14ac:dyDescent="0.25">
      <c r="A29" s="3" t="s">
        <v>18</v>
      </c>
      <c r="B29" s="3">
        <v>2019</v>
      </c>
      <c r="C29" s="3" t="s">
        <v>17</v>
      </c>
      <c r="D29" s="3" t="s">
        <v>145</v>
      </c>
      <c r="E29" s="3">
        <v>7</v>
      </c>
      <c r="F29" s="3">
        <v>4</v>
      </c>
      <c r="G29" s="3">
        <v>88</v>
      </c>
      <c r="H29" s="8" t="s">
        <v>119</v>
      </c>
      <c r="I29" s="8" t="s">
        <v>119</v>
      </c>
      <c r="J29" s="8" t="s">
        <v>119</v>
      </c>
      <c r="K29" s="4">
        <v>790.4</v>
      </c>
      <c r="L29" s="4">
        <v>16.2</v>
      </c>
      <c r="M29" s="2">
        <v>4</v>
      </c>
      <c r="N29" s="8" t="s">
        <v>119</v>
      </c>
      <c r="O29" s="8" t="s">
        <v>119</v>
      </c>
      <c r="P29" s="6" t="s">
        <v>119</v>
      </c>
      <c r="Q29" s="2" t="s">
        <v>117</v>
      </c>
      <c r="R29" s="2" t="s">
        <v>122</v>
      </c>
      <c r="T29" s="8" t="s">
        <v>119</v>
      </c>
      <c r="U29" s="8" t="s">
        <v>119</v>
      </c>
      <c r="V29" s="8" t="s">
        <v>119</v>
      </c>
      <c r="W29" s="8" t="s">
        <v>119</v>
      </c>
      <c r="X29" s="2" t="s">
        <v>126</v>
      </c>
      <c r="Y29" s="8"/>
      <c r="Z29" s="8"/>
    </row>
    <row r="30" spans="1:26" s="2" customFormat="1" x14ac:dyDescent="0.25">
      <c r="A30" s="3" t="s">
        <v>18</v>
      </c>
      <c r="B30" s="3">
        <v>2019</v>
      </c>
      <c r="C30" s="3" t="s">
        <v>17</v>
      </c>
      <c r="D30" s="3" t="s">
        <v>146</v>
      </c>
      <c r="E30" s="3">
        <v>8</v>
      </c>
      <c r="F30" s="3">
        <v>1</v>
      </c>
      <c r="G30" s="3">
        <v>4</v>
      </c>
      <c r="H30" s="2">
        <v>26</v>
      </c>
      <c r="I30" s="2">
        <v>3</v>
      </c>
      <c r="J30" s="2">
        <v>44</v>
      </c>
      <c r="K30" s="4">
        <v>1100.8</v>
      </c>
      <c r="L30" s="4">
        <v>15.7</v>
      </c>
      <c r="M30" s="2">
        <v>2.5</v>
      </c>
      <c r="N30" s="6">
        <v>35.391599999999997</v>
      </c>
      <c r="O30" s="6">
        <v>20.523299999999999</v>
      </c>
      <c r="P30" s="6">
        <v>55.914899999999996</v>
      </c>
      <c r="Q30" s="2" t="s">
        <v>116</v>
      </c>
      <c r="R30" s="2" t="s">
        <v>122</v>
      </c>
      <c r="T30" s="6">
        <v>40.68</v>
      </c>
      <c r="U30" s="6">
        <v>23.59</v>
      </c>
      <c r="V30" s="6">
        <v>64.27</v>
      </c>
      <c r="W30" s="8" t="s">
        <v>119</v>
      </c>
      <c r="X30" s="8" t="s">
        <v>119</v>
      </c>
      <c r="Y30" s="8"/>
      <c r="Z30" s="8"/>
    </row>
    <row r="31" spans="1:26" s="2" customFormat="1" x14ac:dyDescent="0.25">
      <c r="A31" s="3" t="s">
        <v>18</v>
      </c>
      <c r="B31" s="3">
        <v>2019</v>
      </c>
      <c r="C31" s="3" t="s">
        <v>17</v>
      </c>
      <c r="D31" s="3" t="s">
        <v>146</v>
      </c>
      <c r="E31" s="3">
        <v>8</v>
      </c>
      <c r="F31" s="3">
        <v>2</v>
      </c>
      <c r="G31" s="3">
        <v>32</v>
      </c>
      <c r="H31" s="2">
        <v>30</v>
      </c>
      <c r="I31" s="2">
        <v>1.5</v>
      </c>
      <c r="J31" s="2">
        <v>30</v>
      </c>
      <c r="K31" s="4" t="s">
        <v>119</v>
      </c>
      <c r="L31" s="4">
        <v>16.399999999999999</v>
      </c>
      <c r="M31" s="2">
        <v>3.5</v>
      </c>
      <c r="N31" s="6">
        <v>36.844500000000004</v>
      </c>
      <c r="O31" s="6">
        <v>19.7577</v>
      </c>
      <c r="P31" s="6">
        <v>56.602200000000003</v>
      </c>
      <c r="Q31" s="2" t="s">
        <v>116</v>
      </c>
      <c r="R31" s="2" t="s">
        <v>122</v>
      </c>
      <c r="T31" s="6">
        <v>42.35</v>
      </c>
      <c r="U31" s="6">
        <v>22.71</v>
      </c>
      <c r="V31" s="6">
        <v>65.06</v>
      </c>
      <c r="W31" s="8" t="s">
        <v>119</v>
      </c>
      <c r="X31" s="2" t="s">
        <v>126</v>
      </c>
      <c r="Y31" s="8"/>
      <c r="Z31" s="8"/>
    </row>
    <row r="32" spans="1:26" s="2" customFormat="1" x14ac:dyDescent="0.25">
      <c r="A32" s="3" t="s">
        <v>18</v>
      </c>
      <c r="B32" s="3">
        <v>2019</v>
      </c>
      <c r="C32" s="3" t="s">
        <v>17</v>
      </c>
      <c r="D32" s="3" t="s">
        <v>146</v>
      </c>
      <c r="E32" s="3">
        <v>8</v>
      </c>
      <c r="F32" s="3">
        <v>3</v>
      </c>
      <c r="G32" s="3">
        <v>62</v>
      </c>
      <c r="H32" s="2">
        <v>32</v>
      </c>
      <c r="I32" s="8" t="s">
        <v>119</v>
      </c>
      <c r="J32" s="8" t="s">
        <v>119</v>
      </c>
      <c r="K32" s="4">
        <v>1011.1</v>
      </c>
      <c r="L32" s="4">
        <v>17</v>
      </c>
      <c r="M32" s="2">
        <v>2.5</v>
      </c>
      <c r="N32" s="6">
        <v>36.470399999999998</v>
      </c>
      <c r="O32" s="6">
        <v>20.010000000000002</v>
      </c>
      <c r="P32" s="6">
        <v>56.480400000000003</v>
      </c>
      <c r="Q32" s="2" t="s">
        <v>116</v>
      </c>
      <c r="R32" s="2" t="s">
        <v>122</v>
      </c>
      <c r="T32" s="6">
        <v>41.92</v>
      </c>
      <c r="U32" s="6">
        <v>23</v>
      </c>
      <c r="V32" s="6">
        <v>64.92</v>
      </c>
      <c r="W32" s="8" t="s">
        <v>119</v>
      </c>
      <c r="X32" s="8" t="s">
        <v>119</v>
      </c>
      <c r="Y32" s="8"/>
      <c r="Z32" s="8"/>
    </row>
    <row r="33" spans="1:26" s="2" customFormat="1" x14ac:dyDescent="0.25">
      <c r="A33" s="3" t="s">
        <v>18</v>
      </c>
      <c r="B33" s="3">
        <v>2019</v>
      </c>
      <c r="C33" s="3" t="s">
        <v>17</v>
      </c>
      <c r="D33" s="3" t="s">
        <v>146</v>
      </c>
      <c r="E33" s="3">
        <v>8</v>
      </c>
      <c r="F33" s="3">
        <v>4</v>
      </c>
      <c r="G33" s="3">
        <v>96</v>
      </c>
      <c r="H33" s="8" t="s">
        <v>119</v>
      </c>
      <c r="I33" s="8" t="s">
        <v>119</v>
      </c>
      <c r="J33" s="8" t="s">
        <v>119</v>
      </c>
      <c r="K33" s="4">
        <v>1426.7</v>
      </c>
      <c r="L33" s="4">
        <v>15.7</v>
      </c>
      <c r="M33" s="2">
        <v>2.5</v>
      </c>
      <c r="N33" s="8" t="s">
        <v>119</v>
      </c>
      <c r="O33" s="8" t="s">
        <v>119</v>
      </c>
      <c r="P33" s="6" t="s">
        <v>119</v>
      </c>
      <c r="Q33" s="2" t="s">
        <v>116</v>
      </c>
      <c r="R33" s="2" t="s">
        <v>122</v>
      </c>
      <c r="T33" s="8" t="s">
        <v>119</v>
      </c>
      <c r="U33" s="8" t="s">
        <v>119</v>
      </c>
      <c r="V33" s="8" t="s">
        <v>119</v>
      </c>
      <c r="W33" s="2" t="s">
        <v>121</v>
      </c>
      <c r="X33" s="8" t="s">
        <v>119</v>
      </c>
      <c r="Y33" s="8"/>
      <c r="Z33" s="8"/>
    </row>
    <row r="34" spans="1:26" s="2" customFormat="1" x14ac:dyDescent="0.25">
      <c r="A34" s="3" t="s">
        <v>18</v>
      </c>
      <c r="B34" s="3">
        <v>2019</v>
      </c>
      <c r="C34" s="3" t="s">
        <v>17</v>
      </c>
      <c r="D34" s="3" t="s">
        <v>147</v>
      </c>
      <c r="E34" s="3">
        <v>9</v>
      </c>
      <c r="F34" s="3">
        <v>1</v>
      </c>
      <c r="G34" s="3">
        <v>22</v>
      </c>
      <c r="H34" s="2">
        <v>27</v>
      </c>
      <c r="I34" s="2">
        <v>1.5</v>
      </c>
      <c r="J34" s="2">
        <v>34</v>
      </c>
      <c r="K34" s="4" t="s">
        <v>119</v>
      </c>
      <c r="L34" s="4">
        <v>19</v>
      </c>
      <c r="M34" s="2">
        <v>2.5</v>
      </c>
      <c r="N34" s="6">
        <v>41.620800000000003</v>
      </c>
      <c r="O34" s="6">
        <v>19.261800000000001</v>
      </c>
      <c r="P34" s="6">
        <v>60.882600000000004</v>
      </c>
      <c r="Q34" s="2" t="s">
        <v>117</v>
      </c>
      <c r="R34" s="2" t="s">
        <v>123</v>
      </c>
      <c r="T34" s="6">
        <v>47.84</v>
      </c>
      <c r="U34" s="6">
        <v>22.14</v>
      </c>
      <c r="V34" s="6">
        <v>69.98</v>
      </c>
      <c r="W34" s="8" t="s">
        <v>119</v>
      </c>
      <c r="X34" s="8" t="s">
        <v>119</v>
      </c>
      <c r="Y34" s="8"/>
      <c r="Z34" s="8"/>
    </row>
    <row r="35" spans="1:26" s="2" customFormat="1" x14ac:dyDescent="0.25">
      <c r="A35" s="3" t="s">
        <v>18</v>
      </c>
      <c r="B35" s="3">
        <v>2019</v>
      </c>
      <c r="C35" s="3" t="s">
        <v>17</v>
      </c>
      <c r="D35" s="3" t="s">
        <v>147</v>
      </c>
      <c r="E35" s="3">
        <v>9</v>
      </c>
      <c r="F35" s="3">
        <v>2</v>
      </c>
      <c r="G35" s="3">
        <v>27</v>
      </c>
      <c r="H35" s="2">
        <v>31</v>
      </c>
      <c r="I35" s="2">
        <v>2</v>
      </c>
      <c r="J35" s="2">
        <v>39</v>
      </c>
      <c r="K35" s="4">
        <v>675.4</v>
      </c>
      <c r="L35" s="4">
        <v>19.5</v>
      </c>
      <c r="M35" s="2">
        <v>2</v>
      </c>
      <c r="N35" s="6">
        <v>39.898200000000003</v>
      </c>
      <c r="O35" s="6">
        <v>20.0274</v>
      </c>
      <c r="P35" s="6">
        <v>59.925600000000003</v>
      </c>
      <c r="Q35" s="2" t="s">
        <v>117</v>
      </c>
      <c r="R35" s="2" t="s">
        <v>123</v>
      </c>
      <c r="T35" s="6">
        <v>45.86</v>
      </c>
      <c r="U35" s="6">
        <v>23.02</v>
      </c>
      <c r="V35" s="6">
        <v>68.88</v>
      </c>
      <c r="W35" s="8" t="s">
        <v>119</v>
      </c>
      <c r="X35" s="8" t="s">
        <v>119</v>
      </c>
      <c r="Y35" s="8"/>
      <c r="Z35" s="8"/>
    </row>
    <row r="36" spans="1:26" s="2" customFormat="1" x14ac:dyDescent="0.25">
      <c r="A36" s="3" t="s">
        <v>18</v>
      </c>
      <c r="B36" s="3">
        <v>2019</v>
      </c>
      <c r="C36" s="3" t="s">
        <v>17</v>
      </c>
      <c r="D36" s="3" t="s">
        <v>147</v>
      </c>
      <c r="E36" s="3">
        <v>9</v>
      </c>
      <c r="F36" s="3">
        <v>3</v>
      </c>
      <c r="G36" s="3">
        <v>65</v>
      </c>
      <c r="H36" s="2">
        <v>29</v>
      </c>
      <c r="I36" s="8" t="s">
        <v>119</v>
      </c>
      <c r="J36" s="8" t="s">
        <v>119</v>
      </c>
      <c r="K36" s="4">
        <v>877.4</v>
      </c>
      <c r="L36" s="4">
        <v>19.3</v>
      </c>
      <c r="M36" s="2">
        <v>1.5</v>
      </c>
      <c r="N36" s="6">
        <v>38.802</v>
      </c>
      <c r="O36" s="6">
        <v>20.653799999999997</v>
      </c>
      <c r="P36" s="6">
        <v>59.455799999999996</v>
      </c>
      <c r="Q36" s="2" t="s">
        <v>117</v>
      </c>
      <c r="R36" s="2" t="s">
        <v>123</v>
      </c>
      <c r="T36" s="6">
        <v>44.6</v>
      </c>
      <c r="U36" s="6">
        <v>23.74</v>
      </c>
      <c r="V36" s="6">
        <v>68.34</v>
      </c>
      <c r="W36" s="8" t="s">
        <v>119</v>
      </c>
      <c r="X36" s="8" t="s">
        <v>119</v>
      </c>
      <c r="Y36" s="8"/>
      <c r="Z36" s="8"/>
    </row>
    <row r="37" spans="1:26" s="2" customFormat="1" x14ac:dyDescent="0.25">
      <c r="A37" s="3" t="s">
        <v>18</v>
      </c>
      <c r="B37" s="3">
        <v>2019</v>
      </c>
      <c r="C37" s="3" t="s">
        <v>17</v>
      </c>
      <c r="D37" s="3" t="s">
        <v>147</v>
      </c>
      <c r="E37" s="3">
        <v>9</v>
      </c>
      <c r="F37" s="3">
        <v>4</v>
      </c>
      <c r="G37" s="3">
        <v>79</v>
      </c>
      <c r="H37" s="8" t="s">
        <v>119</v>
      </c>
      <c r="I37" s="8" t="s">
        <v>119</v>
      </c>
      <c r="J37" s="8" t="s">
        <v>119</v>
      </c>
      <c r="K37" s="4">
        <v>1165</v>
      </c>
      <c r="L37" s="4">
        <v>17.2</v>
      </c>
      <c r="M37" s="2">
        <v>1.5</v>
      </c>
      <c r="N37" s="8" t="s">
        <v>119</v>
      </c>
      <c r="O37" s="8" t="s">
        <v>119</v>
      </c>
      <c r="P37" s="6" t="s">
        <v>119</v>
      </c>
      <c r="Q37" s="2" t="s">
        <v>117</v>
      </c>
      <c r="R37" s="2" t="s">
        <v>123</v>
      </c>
      <c r="T37" s="8" t="s">
        <v>119</v>
      </c>
      <c r="U37" s="8" t="s">
        <v>119</v>
      </c>
      <c r="V37" s="8" t="s">
        <v>119</v>
      </c>
      <c r="W37" s="8" t="s">
        <v>119</v>
      </c>
      <c r="X37" s="8" t="s">
        <v>119</v>
      </c>
      <c r="Y37" s="8"/>
      <c r="Z37" s="8"/>
    </row>
    <row r="38" spans="1:26" s="2" customFormat="1" x14ac:dyDescent="0.25">
      <c r="A38" s="3" t="s">
        <v>18</v>
      </c>
      <c r="B38" s="3">
        <v>2019</v>
      </c>
      <c r="C38" s="3" t="s">
        <v>17</v>
      </c>
      <c r="D38" s="3" t="s">
        <v>148</v>
      </c>
      <c r="E38" s="3">
        <v>10</v>
      </c>
      <c r="F38" s="3">
        <v>1</v>
      </c>
      <c r="G38" s="3">
        <v>2</v>
      </c>
      <c r="H38" s="2">
        <v>30</v>
      </c>
      <c r="I38" s="2">
        <v>2.5</v>
      </c>
      <c r="J38" s="2">
        <v>48</v>
      </c>
      <c r="K38" s="4">
        <v>956</v>
      </c>
      <c r="L38" s="4">
        <v>17.100000000000001</v>
      </c>
      <c r="M38" s="2">
        <v>2.5</v>
      </c>
      <c r="N38" s="6">
        <v>40.776899999999998</v>
      </c>
      <c r="O38" s="6">
        <v>18.226499999999998</v>
      </c>
      <c r="P38" s="6">
        <v>59.003399999999999</v>
      </c>
      <c r="Q38" s="2" t="s">
        <v>116</v>
      </c>
      <c r="R38" s="2" t="s">
        <v>123</v>
      </c>
      <c r="T38" s="6">
        <v>46.87</v>
      </c>
      <c r="U38" s="6">
        <v>20.95</v>
      </c>
      <c r="V38" s="6">
        <v>67.819999999999993</v>
      </c>
      <c r="W38" s="8" t="s">
        <v>119</v>
      </c>
      <c r="X38" s="8" t="s">
        <v>119</v>
      </c>
      <c r="Y38" s="8"/>
      <c r="Z38" s="8"/>
    </row>
    <row r="39" spans="1:26" s="2" customFormat="1" x14ac:dyDescent="0.25">
      <c r="A39" s="3" t="s">
        <v>18</v>
      </c>
      <c r="B39" s="3">
        <v>2019</v>
      </c>
      <c r="C39" s="3" t="s">
        <v>17</v>
      </c>
      <c r="D39" s="3" t="s">
        <v>148</v>
      </c>
      <c r="E39" s="3">
        <v>10</v>
      </c>
      <c r="F39" s="3">
        <v>2</v>
      </c>
      <c r="G39" s="3">
        <v>39</v>
      </c>
      <c r="H39" s="2">
        <v>30</v>
      </c>
      <c r="I39" s="2">
        <v>2</v>
      </c>
      <c r="J39" s="2">
        <v>34</v>
      </c>
      <c r="K39" s="4" t="s">
        <v>119</v>
      </c>
      <c r="L39" s="4">
        <v>19</v>
      </c>
      <c r="M39" s="2">
        <v>3.5</v>
      </c>
      <c r="N39" s="6">
        <v>43.178100000000001</v>
      </c>
      <c r="O39" s="6">
        <v>18.087299999999999</v>
      </c>
      <c r="P39" s="6">
        <v>61.2654</v>
      </c>
      <c r="Q39" s="2" t="s">
        <v>116</v>
      </c>
      <c r="R39" s="2" t="s">
        <v>123</v>
      </c>
      <c r="T39" s="6">
        <v>49.63</v>
      </c>
      <c r="U39" s="6">
        <v>20.79</v>
      </c>
      <c r="V39" s="6">
        <v>70.42</v>
      </c>
      <c r="W39" s="8" t="s">
        <v>119</v>
      </c>
      <c r="X39" s="2" t="s">
        <v>126</v>
      </c>
      <c r="Y39" s="8"/>
      <c r="Z39" s="8"/>
    </row>
    <row r="40" spans="1:26" s="2" customFormat="1" x14ac:dyDescent="0.25">
      <c r="A40" s="3" t="s">
        <v>18</v>
      </c>
      <c r="B40" s="3">
        <v>2019</v>
      </c>
      <c r="C40" s="3" t="s">
        <v>17</v>
      </c>
      <c r="D40" s="3" t="s">
        <v>148</v>
      </c>
      <c r="E40" s="3">
        <v>10</v>
      </c>
      <c r="F40" s="3">
        <v>3</v>
      </c>
      <c r="G40" s="3">
        <v>70</v>
      </c>
      <c r="H40" s="2">
        <v>27</v>
      </c>
      <c r="I40" s="8" t="s">
        <v>119</v>
      </c>
      <c r="J40" s="8" t="s">
        <v>119</v>
      </c>
      <c r="K40" s="4">
        <v>1589.3</v>
      </c>
      <c r="L40" s="4">
        <v>17.399999999999999</v>
      </c>
      <c r="M40" s="2">
        <v>2.5</v>
      </c>
      <c r="N40" s="6">
        <v>38.5062</v>
      </c>
      <c r="O40" s="6">
        <v>19.270499999999998</v>
      </c>
      <c r="P40" s="6">
        <v>57.776699999999998</v>
      </c>
      <c r="Q40" s="2" t="s">
        <v>116</v>
      </c>
      <c r="R40" s="2" t="s">
        <v>123</v>
      </c>
      <c r="T40" s="6">
        <v>44.26</v>
      </c>
      <c r="U40" s="6">
        <v>22.15</v>
      </c>
      <c r="V40" s="6">
        <v>66.41</v>
      </c>
      <c r="W40" s="8" t="s">
        <v>119</v>
      </c>
      <c r="X40" s="8" t="s">
        <v>119</v>
      </c>
      <c r="Y40" s="8"/>
      <c r="Z40" s="8"/>
    </row>
    <row r="41" spans="1:26" s="2" customFormat="1" x14ac:dyDescent="0.25">
      <c r="A41" s="3" t="s">
        <v>18</v>
      </c>
      <c r="B41" s="3">
        <v>2019</v>
      </c>
      <c r="C41" s="3" t="s">
        <v>17</v>
      </c>
      <c r="D41" s="3" t="s">
        <v>148</v>
      </c>
      <c r="E41" s="3">
        <v>10</v>
      </c>
      <c r="F41" s="3">
        <v>4</v>
      </c>
      <c r="G41" s="3">
        <v>85</v>
      </c>
      <c r="H41" s="8" t="s">
        <v>119</v>
      </c>
      <c r="I41" s="8" t="s">
        <v>119</v>
      </c>
      <c r="J41" s="8" t="s">
        <v>119</v>
      </c>
      <c r="K41" s="4">
        <v>469.4</v>
      </c>
      <c r="L41" s="4">
        <v>14.4</v>
      </c>
      <c r="M41" s="2">
        <v>2.5</v>
      </c>
      <c r="N41" s="8" t="s">
        <v>119</v>
      </c>
      <c r="O41" s="8" t="s">
        <v>119</v>
      </c>
      <c r="P41" s="6" t="s">
        <v>119</v>
      </c>
      <c r="Q41" s="2" t="s">
        <v>116</v>
      </c>
      <c r="R41" s="2" t="s">
        <v>123</v>
      </c>
      <c r="T41" s="8" t="s">
        <v>119</v>
      </c>
      <c r="U41" s="8" t="s">
        <v>119</v>
      </c>
      <c r="V41" s="8" t="s">
        <v>119</v>
      </c>
      <c r="W41" s="8" t="s">
        <v>119</v>
      </c>
      <c r="X41" s="2" t="s">
        <v>126</v>
      </c>
      <c r="Y41" s="8"/>
      <c r="Z41" s="8"/>
    </row>
    <row r="42" spans="1:26" s="2" customFormat="1" x14ac:dyDescent="0.25">
      <c r="A42" s="3" t="s">
        <v>18</v>
      </c>
      <c r="B42" s="3">
        <v>2019</v>
      </c>
      <c r="C42" s="3" t="s">
        <v>17</v>
      </c>
      <c r="D42" s="3" t="s">
        <v>149</v>
      </c>
      <c r="E42" s="3">
        <v>11</v>
      </c>
      <c r="F42" s="3">
        <v>1</v>
      </c>
      <c r="G42" s="3">
        <v>6</v>
      </c>
      <c r="H42" s="2">
        <v>22</v>
      </c>
      <c r="I42" s="2">
        <v>3</v>
      </c>
      <c r="J42" s="2">
        <v>40</v>
      </c>
      <c r="K42" s="4">
        <v>1111.0999999999999</v>
      </c>
      <c r="L42" s="4">
        <v>13.9</v>
      </c>
      <c r="M42" s="2">
        <v>1.5</v>
      </c>
      <c r="N42" s="6">
        <v>35.913600000000002</v>
      </c>
      <c r="O42" s="6">
        <v>20.792999999999999</v>
      </c>
      <c r="P42" s="6">
        <v>56.706600000000002</v>
      </c>
      <c r="Q42" s="2" t="s">
        <v>116</v>
      </c>
      <c r="R42" s="2" t="s">
        <v>123</v>
      </c>
      <c r="T42" s="6">
        <v>41.28</v>
      </c>
      <c r="U42" s="6">
        <v>23.9</v>
      </c>
      <c r="V42" s="6">
        <v>65.180000000000007</v>
      </c>
      <c r="W42" s="8" t="s">
        <v>119</v>
      </c>
      <c r="X42" s="8" t="s">
        <v>119</v>
      </c>
      <c r="Y42" s="8"/>
      <c r="Z42" s="8"/>
    </row>
    <row r="43" spans="1:26" s="2" customFormat="1" x14ac:dyDescent="0.25">
      <c r="A43" s="3" t="s">
        <v>18</v>
      </c>
      <c r="B43" s="3">
        <v>2019</v>
      </c>
      <c r="C43" s="3" t="s">
        <v>17</v>
      </c>
      <c r="D43" s="3" t="s">
        <v>149</v>
      </c>
      <c r="E43" s="3">
        <v>11</v>
      </c>
      <c r="F43" s="3">
        <v>2</v>
      </c>
      <c r="G43" s="3">
        <v>34</v>
      </c>
      <c r="H43" s="2">
        <v>25</v>
      </c>
      <c r="I43" s="2">
        <v>3</v>
      </c>
      <c r="J43" s="2">
        <v>36</v>
      </c>
      <c r="K43" s="4" t="s">
        <v>119</v>
      </c>
      <c r="L43" s="4">
        <v>17</v>
      </c>
      <c r="M43" s="2">
        <v>1.5</v>
      </c>
      <c r="N43" s="6">
        <v>38.810699999999997</v>
      </c>
      <c r="O43" s="6">
        <v>19.505400000000002</v>
      </c>
      <c r="P43" s="6">
        <v>58.316099999999999</v>
      </c>
      <c r="Q43" s="2" t="s">
        <v>116</v>
      </c>
      <c r="R43" s="2" t="s">
        <v>123</v>
      </c>
      <c r="T43" s="6">
        <v>44.61</v>
      </c>
      <c r="U43" s="6">
        <v>22.42</v>
      </c>
      <c r="V43" s="6">
        <v>67.03</v>
      </c>
      <c r="W43" s="8" t="s">
        <v>119</v>
      </c>
      <c r="X43" s="8" t="s">
        <v>119</v>
      </c>
      <c r="Y43" s="8"/>
      <c r="Z43" s="8"/>
    </row>
    <row r="44" spans="1:26" s="2" customFormat="1" x14ac:dyDescent="0.25">
      <c r="A44" s="3" t="s">
        <v>18</v>
      </c>
      <c r="B44" s="3">
        <v>2019</v>
      </c>
      <c r="C44" s="3" t="s">
        <v>17</v>
      </c>
      <c r="D44" s="3" t="s">
        <v>149</v>
      </c>
      <c r="E44" s="3">
        <v>11</v>
      </c>
      <c r="F44" s="3">
        <v>3</v>
      </c>
      <c r="G44" s="3">
        <v>68</v>
      </c>
      <c r="H44" s="2">
        <v>22</v>
      </c>
      <c r="I44" s="8" t="s">
        <v>119</v>
      </c>
      <c r="J44" s="8" t="s">
        <v>119</v>
      </c>
      <c r="K44" s="4">
        <v>1252.5</v>
      </c>
      <c r="L44" s="4">
        <v>16.100000000000001</v>
      </c>
      <c r="M44" s="2">
        <v>1.5</v>
      </c>
      <c r="N44" s="6">
        <v>37.923300000000005</v>
      </c>
      <c r="O44" s="6">
        <v>20.018700000000003</v>
      </c>
      <c r="P44" s="6">
        <v>57.942000000000007</v>
      </c>
      <c r="Q44" s="2" t="s">
        <v>116</v>
      </c>
      <c r="R44" s="2" t="s">
        <v>123</v>
      </c>
      <c r="T44" s="6">
        <v>43.59</v>
      </c>
      <c r="U44" s="6">
        <v>23.01</v>
      </c>
      <c r="V44" s="6">
        <v>66.600000000000009</v>
      </c>
      <c r="W44" s="8" t="s">
        <v>119</v>
      </c>
      <c r="X44" s="8" t="s">
        <v>119</v>
      </c>
      <c r="Y44" s="8"/>
      <c r="Z44" s="8"/>
    </row>
    <row r="45" spans="1:26" s="2" customFormat="1" x14ac:dyDescent="0.25">
      <c r="A45" s="3" t="s">
        <v>18</v>
      </c>
      <c r="B45" s="3">
        <v>2019</v>
      </c>
      <c r="C45" s="3" t="s">
        <v>17</v>
      </c>
      <c r="D45" s="3" t="s">
        <v>149</v>
      </c>
      <c r="E45" s="3">
        <v>11</v>
      </c>
      <c r="F45" s="3">
        <v>4</v>
      </c>
      <c r="G45" s="3">
        <v>97</v>
      </c>
      <c r="H45" s="8" t="s">
        <v>119</v>
      </c>
      <c r="I45" s="8" t="s">
        <v>119</v>
      </c>
      <c r="J45" s="8" t="s">
        <v>119</v>
      </c>
      <c r="K45" s="4">
        <v>1035.0999999999999</v>
      </c>
      <c r="L45" s="4">
        <v>16.2</v>
      </c>
      <c r="M45" s="2">
        <v>2.5</v>
      </c>
      <c r="N45" s="8" t="s">
        <v>119</v>
      </c>
      <c r="O45" s="8" t="s">
        <v>119</v>
      </c>
      <c r="P45" s="6" t="s">
        <v>119</v>
      </c>
      <c r="Q45" s="2" t="s">
        <v>116</v>
      </c>
      <c r="R45" s="2" t="s">
        <v>123</v>
      </c>
      <c r="T45" s="8" t="s">
        <v>119</v>
      </c>
      <c r="U45" s="8" t="s">
        <v>119</v>
      </c>
      <c r="V45" s="8" t="s">
        <v>119</v>
      </c>
      <c r="W45" s="8" t="s">
        <v>119</v>
      </c>
      <c r="X45" s="8" t="s">
        <v>119</v>
      </c>
      <c r="Y45" s="8"/>
      <c r="Z45" s="8"/>
    </row>
    <row r="46" spans="1:26" s="2" customFormat="1" x14ac:dyDescent="0.25">
      <c r="A46" s="3" t="s">
        <v>18</v>
      </c>
      <c r="B46" s="3">
        <v>2019</v>
      </c>
      <c r="C46" s="3" t="s">
        <v>17</v>
      </c>
      <c r="D46" s="3" t="s">
        <v>150</v>
      </c>
      <c r="E46" s="3">
        <v>12</v>
      </c>
      <c r="F46" s="3">
        <v>1</v>
      </c>
      <c r="G46" s="3">
        <v>19</v>
      </c>
      <c r="H46" s="2">
        <v>27</v>
      </c>
      <c r="I46" s="2">
        <v>2</v>
      </c>
      <c r="J46" s="2">
        <v>32</v>
      </c>
      <c r="K46" s="4">
        <v>523.79999999999995</v>
      </c>
      <c r="L46" s="4">
        <v>18.5</v>
      </c>
      <c r="M46" s="2">
        <v>2.5</v>
      </c>
      <c r="N46" s="6">
        <v>38.3583</v>
      </c>
      <c r="O46" s="6">
        <v>19.7925</v>
      </c>
      <c r="P46" s="6">
        <v>58.150800000000004</v>
      </c>
      <c r="Q46" s="2" t="s">
        <v>116</v>
      </c>
      <c r="R46" s="2" t="s">
        <v>123</v>
      </c>
      <c r="T46" s="6">
        <v>44.09</v>
      </c>
      <c r="U46" s="6">
        <v>22.75</v>
      </c>
      <c r="V46" s="6">
        <v>66.84</v>
      </c>
      <c r="W46" s="8" t="s">
        <v>119</v>
      </c>
      <c r="X46" s="8" t="s">
        <v>119</v>
      </c>
      <c r="Y46" s="8"/>
      <c r="Z46" s="8"/>
    </row>
    <row r="47" spans="1:26" s="2" customFormat="1" x14ac:dyDescent="0.25">
      <c r="A47" s="3" t="s">
        <v>18</v>
      </c>
      <c r="B47" s="3">
        <v>2019</v>
      </c>
      <c r="C47" s="3" t="s">
        <v>17</v>
      </c>
      <c r="D47" s="3" t="s">
        <v>150</v>
      </c>
      <c r="E47" s="3">
        <v>12</v>
      </c>
      <c r="F47" s="3">
        <v>2</v>
      </c>
      <c r="G47" s="3">
        <v>46</v>
      </c>
      <c r="H47" s="2">
        <v>25</v>
      </c>
      <c r="I47" s="2">
        <v>3</v>
      </c>
      <c r="J47" s="2">
        <v>34</v>
      </c>
      <c r="K47" s="4">
        <v>548.5</v>
      </c>
      <c r="L47" s="4">
        <v>16.100000000000001</v>
      </c>
      <c r="M47" s="2">
        <v>2</v>
      </c>
      <c r="N47" s="6">
        <v>37.9407</v>
      </c>
      <c r="O47" s="6">
        <v>20.671200000000002</v>
      </c>
      <c r="P47" s="6">
        <v>58.611900000000006</v>
      </c>
      <c r="Q47" s="2" t="s">
        <v>116</v>
      </c>
      <c r="R47" s="2" t="s">
        <v>123</v>
      </c>
      <c r="T47" s="6">
        <v>43.61</v>
      </c>
      <c r="U47" s="6">
        <v>23.76</v>
      </c>
      <c r="V47" s="6">
        <v>67.37</v>
      </c>
      <c r="W47" s="8" t="s">
        <v>119</v>
      </c>
      <c r="X47" s="8" t="s">
        <v>119</v>
      </c>
      <c r="Y47" s="8"/>
      <c r="Z47" s="8"/>
    </row>
    <row r="48" spans="1:26" s="2" customFormat="1" x14ac:dyDescent="0.25">
      <c r="A48" s="3" t="s">
        <v>18</v>
      </c>
      <c r="B48" s="3">
        <v>2019</v>
      </c>
      <c r="C48" s="3" t="s">
        <v>17</v>
      </c>
      <c r="D48" s="3" t="s">
        <v>150</v>
      </c>
      <c r="E48" s="3">
        <v>12</v>
      </c>
      <c r="F48" s="3">
        <v>3</v>
      </c>
      <c r="G48" s="3">
        <v>63</v>
      </c>
      <c r="H48" s="2">
        <v>28</v>
      </c>
      <c r="I48" s="8" t="s">
        <v>119</v>
      </c>
      <c r="J48" s="8" t="s">
        <v>119</v>
      </c>
      <c r="K48" s="4">
        <v>1007.9</v>
      </c>
      <c r="L48" s="4">
        <v>18.2</v>
      </c>
      <c r="M48" s="2">
        <v>2.5</v>
      </c>
      <c r="N48" s="6">
        <v>37.740600000000001</v>
      </c>
      <c r="O48" s="6">
        <v>21.2193</v>
      </c>
      <c r="P48" s="6">
        <v>58.959900000000005</v>
      </c>
      <c r="Q48" s="2" t="s">
        <v>116</v>
      </c>
      <c r="R48" s="2" t="s">
        <v>123</v>
      </c>
      <c r="T48" s="6">
        <v>43.38</v>
      </c>
      <c r="U48" s="6">
        <v>24.39</v>
      </c>
      <c r="V48" s="6">
        <v>67.77000000000001</v>
      </c>
      <c r="W48" s="8" t="s">
        <v>119</v>
      </c>
      <c r="X48" s="8" t="s">
        <v>119</v>
      </c>
      <c r="Y48" s="8"/>
      <c r="Z48" s="8"/>
    </row>
    <row r="49" spans="1:26" s="2" customFormat="1" x14ac:dyDescent="0.25">
      <c r="A49" s="3" t="s">
        <v>18</v>
      </c>
      <c r="B49" s="3">
        <v>2019</v>
      </c>
      <c r="C49" s="3" t="s">
        <v>17</v>
      </c>
      <c r="D49" s="3" t="s">
        <v>150</v>
      </c>
      <c r="E49" s="3">
        <v>12</v>
      </c>
      <c r="F49" s="3">
        <v>4</v>
      </c>
      <c r="G49" s="3">
        <v>87</v>
      </c>
      <c r="H49" s="8" t="s">
        <v>119</v>
      </c>
      <c r="I49" s="8" t="s">
        <v>119</v>
      </c>
      <c r="J49" s="8" t="s">
        <v>119</v>
      </c>
      <c r="K49" s="4">
        <v>894.7</v>
      </c>
      <c r="L49" s="4">
        <v>16.2</v>
      </c>
      <c r="M49" s="2">
        <v>2.5</v>
      </c>
      <c r="N49" s="8" t="s">
        <v>119</v>
      </c>
      <c r="O49" s="8" t="s">
        <v>119</v>
      </c>
      <c r="P49" s="6" t="s">
        <v>119</v>
      </c>
      <c r="Q49" s="2" t="s">
        <v>116</v>
      </c>
      <c r="R49" s="2" t="s">
        <v>123</v>
      </c>
      <c r="T49" s="8" t="s">
        <v>119</v>
      </c>
      <c r="U49" s="8" t="s">
        <v>119</v>
      </c>
      <c r="V49" s="8" t="s">
        <v>119</v>
      </c>
      <c r="W49" s="2" t="s">
        <v>121</v>
      </c>
      <c r="X49" s="8" t="s">
        <v>119</v>
      </c>
      <c r="Y49" s="8"/>
      <c r="Z49" s="8"/>
    </row>
    <row r="50" spans="1:26" s="2" customFormat="1" x14ac:dyDescent="0.25">
      <c r="A50" s="3" t="s">
        <v>18</v>
      </c>
      <c r="B50" s="3">
        <v>2019</v>
      </c>
      <c r="C50" s="3" t="s">
        <v>17</v>
      </c>
      <c r="D50" s="3" t="s">
        <v>151</v>
      </c>
      <c r="E50" s="3">
        <v>13</v>
      </c>
      <c r="F50" s="3">
        <v>1</v>
      </c>
      <c r="G50" s="3">
        <v>16</v>
      </c>
      <c r="H50" s="2">
        <v>29</v>
      </c>
      <c r="I50" s="2">
        <v>1.5</v>
      </c>
      <c r="J50" s="2">
        <v>20</v>
      </c>
      <c r="K50" s="4">
        <v>1090.0999999999999</v>
      </c>
      <c r="L50" s="4">
        <v>15.9</v>
      </c>
      <c r="M50" s="2">
        <v>2</v>
      </c>
      <c r="N50" s="6">
        <v>36.583500000000001</v>
      </c>
      <c r="O50" s="6">
        <v>19.531499999999998</v>
      </c>
      <c r="P50" s="6">
        <v>56.114999999999995</v>
      </c>
      <c r="Q50" s="2" t="s">
        <v>116</v>
      </c>
      <c r="R50" s="2" t="s">
        <v>123</v>
      </c>
      <c r="T50" s="6">
        <v>42.05</v>
      </c>
      <c r="U50" s="6">
        <v>22.45</v>
      </c>
      <c r="V50" s="6">
        <v>64.5</v>
      </c>
      <c r="W50" s="8" t="s">
        <v>119</v>
      </c>
      <c r="X50" s="8" t="s">
        <v>119</v>
      </c>
      <c r="Y50" s="8"/>
      <c r="Z50" s="8"/>
    </row>
    <row r="51" spans="1:26" s="2" customFormat="1" x14ac:dyDescent="0.25">
      <c r="A51" s="3" t="s">
        <v>18</v>
      </c>
      <c r="B51" s="3">
        <v>2019</v>
      </c>
      <c r="C51" s="3" t="s">
        <v>17</v>
      </c>
      <c r="D51" s="3" t="s">
        <v>151</v>
      </c>
      <c r="E51" s="3">
        <v>13</v>
      </c>
      <c r="F51" s="3">
        <v>2</v>
      </c>
      <c r="G51" s="3">
        <v>30</v>
      </c>
      <c r="H51" s="2">
        <v>27</v>
      </c>
      <c r="I51" s="2">
        <v>1.5</v>
      </c>
      <c r="J51" s="2">
        <v>19</v>
      </c>
      <c r="K51" s="4">
        <v>1232.9000000000001</v>
      </c>
      <c r="L51" s="4">
        <v>16.5</v>
      </c>
      <c r="M51" s="2">
        <v>2.5</v>
      </c>
      <c r="N51" s="6">
        <v>37.436100000000003</v>
      </c>
      <c r="O51" s="6">
        <v>19.261800000000001</v>
      </c>
      <c r="P51" s="6">
        <v>56.697900000000004</v>
      </c>
      <c r="Q51" s="2" t="s">
        <v>116</v>
      </c>
      <c r="R51" s="2" t="s">
        <v>123</v>
      </c>
      <c r="T51" s="6">
        <v>43.03</v>
      </c>
      <c r="U51" s="6">
        <v>22.14</v>
      </c>
      <c r="V51" s="6">
        <v>65.17</v>
      </c>
      <c r="W51" s="8" t="s">
        <v>119</v>
      </c>
      <c r="X51" s="8" t="s">
        <v>119</v>
      </c>
      <c r="Y51" s="8"/>
      <c r="Z51" s="8"/>
    </row>
    <row r="52" spans="1:26" s="2" customFormat="1" x14ac:dyDescent="0.25">
      <c r="A52" s="3" t="s">
        <v>18</v>
      </c>
      <c r="B52" s="3">
        <v>2019</v>
      </c>
      <c r="C52" s="3" t="s">
        <v>17</v>
      </c>
      <c r="D52" s="3" t="s">
        <v>151</v>
      </c>
      <c r="E52" s="3">
        <v>13</v>
      </c>
      <c r="F52" s="3">
        <v>3</v>
      </c>
      <c r="G52" s="3">
        <v>61</v>
      </c>
      <c r="H52" s="2">
        <v>27</v>
      </c>
      <c r="I52" s="8" t="s">
        <v>119</v>
      </c>
      <c r="J52" s="8" t="s">
        <v>119</v>
      </c>
      <c r="K52" s="4">
        <v>1647.5</v>
      </c>
      <c r="L52" s="4">
        <v>16.100000000000001</v>
      </c>
      <c r="M52" s="2">
        <v>2</v>
      </c>
      <c r="N52" s="6">
        <v>35.7744</v>
      </c>
      <c r="O52" s="6">
        <v>19.6098</v>
      </c>
      <c r="P52" s="6">
        <v>55.3842</v>
      </c>
      <c r="Q52" s="2" t="s">
        <v>116</v>
      </c>
      <c r="R52" s="2" t="s">
        <v>123</v>
      </c>
      <c r="T52" s="6">
        <v>41.12</v>
      </c>
      <c r="U52" s="6">
        <v>22.54</v>
      </c>
      <c r="V52" s="6">
        <v>63.66</v>
      </c>
      <c r="W52" s="8" t="s">
        <v>119</v>
      </c>
      <c r="X52" s="8" t="s">
        <v>119</v>
      </c>
      <c r="Y52" s="8"/>
      <c r="Z52" s="8"/>
    </row>
    <row r="53" spans="1:26" s="2" customFormat="1" x14ac:dyDescent="0.25">
      <c r="A53" s="3" t="s">
        <v>18</v>
      </c>
      <c r="B53" s="3">
        <v>2019</v>
      </c>
      <c r="C53" s="3" t="s">
        <v>17</v>
      </c>
      <c r="D53" s="3" t="s">
        <v>151</v>
      </c>
      <c r="E53" s="3">
        <v>13</v>
      </c>
      <c r="F53" s="3">
        <v>4</v>
      </c>
      <c r="G53" s="3">
        <v>86</v>
      </c>
      <c r="H53" s="8" t="s">
        <v>119</v>
      </c>
      <c r="I53" s="8" t="s">
        <v>119</v>
      </c>
      <c r="J53" s="8" t="s">
        <v>119</v>
      </c>
      <c r="K53" s="4" t="s">
        <v>119</v>
      </c>
      <c r="L53" s="4">
        <v>16</v>
      </c>
      <c r="M53" s="2">
        <v>2.5</v>
      </c>
      <c r="N53" s="8" t="s">
        <v>119</v>
      </c>
      <c r="O53" s="8" t="s">
        <v>119</v>
      </c>
      <c r="P53" s="6" t="s">
        <v>119</v>
      </c>
      <c r="Q53" s="2" t="s">
        <v>116</v>
      </c>
      <c r="R53" s="2" t="s">
        <v>123</v>
      </c>
      <c r="T53" s="8" t="s">
        <v>119</v>
      </c>
      <c r="U53" s="8" t="s">
        <v>119</v>
      </c>
      <c r="V53" s="8" t="s">
        <v>119</v>
      </c>
      <c r="W53" s="8" t="s">
        <v>119</v>
      </c>
      <c r="X53" s="8" t="s">
        <v>119</v>
      </c>
      <c r="Y53" s="8"/>
      <c r="Z53" s="8"/>
    </row>
    <row r="54" spans="1:26" s="2" customFormat="1" x14ac:dyDescent="0.25">
      <c r="A54" s="3" t="s">
        <v>18</v>
      </c>
      <c r="B54" s="3">
        <v>2019</v>
      </c>
      <c r="C54" s="3" t="s">
        <v>17</v>
      </c>
      <c r="D54" s="3" t="s">
        <v>152</v>
      </c>
      <c r="E54" s="3">
        <v>14</v>
      </c>
      <c r="F54" s="3">
        <v>1</v>
      </c>
      <c r="G54" s="3">
        <v>17</v>
      </c>
      <c r="H54" s="2">
        <v>20</v>
      </c>
      <c r="I54" s="2">
        <v>1</v>
      </c>
      <c r="J54" s="2">
        <v>27</v>
      </c>
      <c r="K54" s="4" t="s">
        <v>119</v>
      </c>
      <c r="L54" s="4">
        <v>17.5</v>
      </c>
      <c r="M54" s="2">
        <v>2</v>
      </c>
      <c r="N54" s="6">
        <v>44.709299999999999</v>
      </c>
      <c r="O54" s="6">
        <v>17.7654</v>
      </c>
      <c r="P54" s="6">
        <v>62.474699999999999</v>
      </c>
      <c r="Q54" s="2" t="s">
        <v>117</v>
      </c>
      <c r="R54" s="2" t="s">
        <v>122</v>
      </c>
      <c r="T54" s="6">
        <v>51.39</v>
      </c>
      <c r="U54" s="6">
        <v>20.420000000000002</v>
      </c>
      <c r="V54" s="6">
        <v>71.81</v>
      </c>
      <c r="W54" s="8" t="s">
        <v>119</v>
      </c>
      <c r="X54" s="8" t="s">
        <v>119</v>
      </c>
      <c r="Y54" s="8"/>
      <c r="Z54" s="8"/>
    </row>
    <row r="55" spans="1:26" s="2" customFormat="1" x14ac:dyDescent="0.25">
      <c r="A55" s="3" t="s">
        <v>18</v>
      </c>
      <c r="B55" s="3">
        <v>2019</v>
      </c>
      <c r="C55" s="3" t="s">
        <v>17</v>
      </c>
      <c r="D55" s="3" t="s">
        <v>152</v>
      </c>
      <c r="E55" s="3">
        <v>14</v>
      </c>
      <c r="F55" s="3">
        <v>2</v>
      </c>
      <c r="G55" s="3">
        <v>26</v>
      </c>
      <c r="H55" s="2">
        <v>20</v>
      </c>
      <c r="I55" s="2">
        <v>1</v>
      </c>
      <c r="J55" s="2">
        <v>26</v>
      </c>
      <c r="K55" s="4" t="s">
        <v>119</v>
      </c>
      <c r="L55" s="4">
        <v>15.3</v>
      </c>
      <c r="M55" s="2">
        <v>1.5</v>
      </c>
      <c r="N55" s="6">
        <v>43.7697</v>
      </c>
      <c r="O55" s="6">
        <v>18.383099999999999</v>
      </c>
      <c r="P55" s="6">
        <v>62.152799999999999</v>
      </c>
      <c r="Q55" s="2" t="s">
        <v>117</v>
      </c>
      <c r="R55" s="2" t="s">
        <v>122</v>
      </c>
      <c r="T55" s="6">
        <v>50.31</v>
      </c>
      <c r="U55" s="6">
        <v>21.13</v>
      </c>
      <c r="V55" s="6">
        <v>71.44</v>
      </c>
      <c r="W55" s="8" t="s">
        <v>119</v>
      </c>
      <c r="X55" s="8" t="s">
        <v>119</v>
      </c>
      <c r="Y55" s="8"/>
      <c r="Z55" s="8"/>
    </row>
    <row r="56" spans="1:26" s="2" customFormat="1" x14ac:dyDescent="0.25">
      <c r="A56" s="3" t="s">
        <v>18</v>
      </c>
      <c r="B56" s="3">
        <v>2019</v>
      </c>
      <c r="C56" s="3" t="s">
        <v>17</v>
      </c>
      <c r="D56" s="3" t="s">
        <v>152</v>
      </c>
      <c r="E56" s="3">
        <v>14</v>
      </c>
      <c r="F56" s="3">
        <v>3</v>
      </c>
      <c r="G56" s="3">
        <v>72</v>
      </c>
      <c r="H56" s="2">
        <v>26</v>
      </c>
      <c r="I56" s="8" t="s">
        <v>119</v>
      </c>
      <c r="J56" s="8" t="s">
        <v>119</v>
      </c>
      <c r="K56" s="4">
        <v>1033.0999999999999</v>
      </c>
      <c r="L56" s="4">
        <v>18.100000000000001</v>
      </c>
      <c r="M56" s="2">
        <v>2.5</v>
      </c>
      <c r="N56" s="6">
        <v>43.560899999999997</v>
      </c>
      <c r="O56" s="6">
        <v>17.878499999999999</v>
      </c>
      <c r="P56" s="6">
        <v>61.439399999999992</v>
      </c>
      <c r="Q56" s="2" t="s">
        <v>117</v>
      </c>
      <c r="R56" s="2" t="s">
        <v>122</v>
      </c>
      <c r="T56" s="6">
        <v>50.07</v>
      </c>
      <c r="U56" s="6">
        <v>20.55</v>
      </c>
      <c r="V56" s="6">
        <v>70.62</v>
      </c>
      <c r="W56" s="8" t="s">
        <v>119</v>
      </c>
      <c r="X56" s="8" t="s">
        <v>119</v>
      </c>
      <c r="Y56" s="8"/>
      <c r="Z56" s="8"/>
    </row>
    <row r="57" spans="1:26" s="2" customFormat="1" x14ac:dyDescent="0.25">
      <c r="A57" s="3" t="s">
        <v>18</v>
      </c>
      <c r="B57" s="3">
        <v>2019</v>
      </c>
      <c r="C57" s="3" t="s">
        <v>17</v>
      </c>
      <c r="D57" s="3" t="s">
        <v>152</v>
      </c>
      <c r="E57" s="3">
        <v>14</v>
      </c>
      <c r="F57" s="3">
        <v>4</v>
      </c>
      <c r="G57" s="3">
        <v>93</v>
      </c>
      <c r="H57" s="8" t="s">
        <v>119</v>
      </c>
      <c r="I57" s="8" t="s">
        <v>119</v>
      </c>
      <c r="J57" s="8" t="s">
        <v>119</v>
      </c>
      <c r="K57" s="4">
        <v>1374.2</v>
      </c>
      <c r="L57" s="4">
        <v>19.100000000000001</v>
      </c>
      <c r="M57" s="2">
        <v>2</v>
      </c>
      <c r="N57" s="8" t="s">
        <v>119</v>
      </c>
      <c r="O57" s="8" t="s">
        <v>119</v>
      </c>
      <c r="P57" s="6" t="s">
        <v>119</v>
      </c>
      <c r="Q57" s="2" t="s">
        <v>117</v>
      </c>
      <c r="R57" s="2" t="s">
        <v>122</v>
      </c>
      <c r="T57" s="8" t="s">
        <v>119</v>
      </c>
      <c r="U57" s="8" t="s">
        <v>119</v>
      </c>
      <c r="V57" s="8" t="s">
        <v>119</v>
      </c>
      <c r="W57" s="8" t="s">
        <v>119</v>
      </c>
      <c r="X57" s="8" t="s">
        <v>119</v>
      </c>
      <c r="Y57" s="8"/>
      <c r="Z57" s="8"/>
    </row>
    <row r="58" spans="1:26" s="2" customFormat="1" x14ac:dyDescent="0.25">
      <c r="A58" s="3" t="s">
        <v>18</v>
      </c>
      <c r="B58" s="3">
        <v>2019</v>
      </c>
      <c r="C58" s="3" t="s">
        <v>17</v>
      </c>
      <c r="D58" s="3" t="s">
        <v>153</v>
      </c>
      <c r="E58" s="3">
        <v>15</v>
      </c>
      <c r="F58" s="3">
        <v>1</v>
      </c>
      <c r="G58" s="3">
        <v>25</v>
      </c>
      <c r="H58" s="2">
        <v>26</v>
      </c>
      <c r="I58" s="2">
        <v>1</v>
      </c>
      <c r="J58" s="2">
        <v>19</v>
      </c>
      <c r="K58" s="4">
        <v>1101.5999999999999</v>
      </c>
      <c r="L58" s="4">
        <v>13</v>
      </c>
      <c r="M58" s="2">
        <v>1.5</v>
      </c>
      <c r="N58" s="6">
        <v>37.001100000000001</v>
      </c>
      <c r="O58" s="6">
        <v>20.418899999999997</v>
      </c>
      <c r="P58" s="6">
        <v>57.42</v>
      </c>
      <c r="Q58" s="2" t="s">
        <v>116</v>
      </c>
      <c r="R58" s="2" t="s">
        <v>122</v>
      </c>
      <c r="T58" s="6">
        <v>42.53</v>
      </c>
      <c r="U58" s="6">
        <v>23.47</v>
      </c>
      <c r="V58" s="6">
        <v>66</v>
      </c>
      <c r="W58" s="8" t="s">
        <v>119</v>
      </c>
      <c r="X58" s="8" t="s">
        <v>119</v>
      </c>
      <c r="Y58" s="8"/>
      <c r="Z58" s="8"/>
    </row>
    <row r="59" spans="1:26" s="2" customFormat="1" x14ac:dyDescent="0.25">
      <c r="A59" s="3" t="s">
        <v>18</v>
      </c>
      <c r="B59" s="3">
        <v>2019</v>
      </c>
      <c r="C59" s="3" t="s">
        <v>17</v>
      </c>
      <c r="D59" s="3" t="s">
        <v>153</v>
      </c>
      <c r="E59" s="3">
        <v>15</v>
      </c>
      <c r="F59" s="3">
        <v>2</v>
      </c>
      <c r="G59" s="3">
        <v>42</v>
      </c>
      <c r="H59" s="2">
        <v>26</v>
      </c>
      <c r="I59" s="2">
        <v>1</v>
      </c>
      <c r="J59" s="2">
        <v>16</v>
      </c>
      <c r="K59" s="4" t="s">
        <v>119</v>
      </c>
      <c r="L59" s="4">
        <v>14.3</v>
      </c>
      <c r="M59" s="2">
        <v>2</v>
      </c>
      <c r="N59" s="6">
        <v>37.331699999999998</v>
      </c>
      <c r="O59" s="6">
        <v>20.436299999999999</v>
      </c>
      <c r="P59" s="6">
        <v>57.768000000000001</v>
      </c>
      <c r="Q59" s="2" t="s">
        <v>116</v>
      </c>
      <c r="R59" s="2" t="s">
        <v>122</v>
      </c>
      <c r="T59" s="6">
        <v>42.91</v>
      </c>
      <c r="U59" s="6">
        <v>23.49</v>
      </c>
      <c r="V59" s="6">
        <v>66.399999999999991</v>
      </c>
      <c r="W59" s="8" t="s">
        <v>119</v>
      </c>
      <c r="X59" s="8" t="s">
        <v>119</v>
      </c>
      <c r="Y59" s="8"/>
      <c r="Z59" s="8"/>
    </row>
    <row r="60" spans="1:26" s="2" customFormat="1" x14ac:dyDescent="0.25">
      <c r="A60" s="3" t="s">
        <v>18</v>
      </c>
      <c r="B60" s="3">
        <v>2019</v>
      </c>
      <c r="C60" s="3" t="s">
        <v>17</v>
      </c>
      <c r="D60" s="3" t="s">
        <v>153</v>
      </c>
      <c r="E60" s="3">
        <v>15</v>
      </c>
      <c r="F60" s="3">
        <v>3</v>
      </c>
      <c r="G60" s="3">
        <v>60</v>
      </c>
      <c r="H60" s="2">
        <v>30</v>
      </c>
      <c r="I60" s="8" t="s">
        <v>119</v>
      </c>
      <c r="J60" s="8" t="s">
        <v>119</v>
      </c>
      <c r="K60" s="4">
        <v>1470</v>
      </c>
      <c r="L60" s="4">
        <v>14.2</v>
      </c>
      <c r="M60" s="2">
        <v>2</v>
      </c>
      <c r="N60" s="6">
        <v>36.800999999999995</v>
      </c>
      <c r="O60" s="6">
        <v>20.5929</v>
      </c>
      <c r="P60" s="6">
        <v>57.393899999999995</v>
      </c>
      <c r="Q60" s="2" t="s">
        <v>116</v>
      </c>
      <c r="R60" s="2" t="s">
        <v>124</v>
      </c>
      <c r="T60" s="6">
        <v>42.3</v>
      </c>
      <c r="U60" s="6">
        <v>23.67</v>
      </c>
      <c r="V60" s="6">
        <v>65.97</v>
      </c>
      <c r="W60" s="8" t="s">
        <v>119</v>
      </c>
      <c r="X60" s="8" t="s">
        <v>119</v>
      </c>
      <c r="Y60" s="8"/>
      <c r="Z60" s="8"/>
    </row>
    <row r="61" spans="1:26" s="2" customFormat="1" x14ac:dyDescent="0.25">
      <c r="A61" s="3" t="s">
        <v>18</v>
      </c>
      <c r="B61" s="3">
        <v>2019</v>
      </c>
      <c r="C61" s="3" t="s">
        <v>17</v>
      </c>
      <c r="D61" s="3" t="s">
        <v>153</v>
      </c>
      <c r="E61" s="3">
        <v>15</v>
      </c>
      <c r="F61" s="3">
        <v>4</v>
      </c>
      <c r="G61" s="3">
        <v>91</v>
      </c>
      <c r="H61" s="8" t="s">
        <v>119</v>
      </c>
      <c r="I61" s="8" t="s">
        <v>119</v>
      </c>
      <c r="J61" s="8" t="s">
        <v>119</v>
      </c>
      <c r="K61" s="4">
        <v>1449</v>
      </c>
      <c r="L61" s="4">
        <v>13.8</v>
      </c>
      <c r="M61" s="2">
        <v>2.5</v>
      </c>
      <c r="N61" s="8" t="s">
        <v>119</v>
      </c>
      <c r="O61" s="8" t="s">
        <v>119</v>
      </c>
      <c r="P61" s="6" t="s">
        <v>119</v>
      </c>
      <c r="Q61" s="2" t="s">
        <v>116</v>
      </c>
      <c r="R61" s="2" t="s">
        <v>124</v>
      </c>
      <c r="T61" s="8" t="s">
        <v>119</v>
      </c>
      <c r="U61" s="8" t="s">
        <v>119</v>
      </c>
      <c r="V61" s="8" t="s">
        <v>119</v>
      </c>
      <c r="W61" s="8" t="s">
        <v>119</v>
      </c>
      <c r="X61" s="8" t="s">
        <v>119</v>
      </c>
      <c r="Y61" s="8"/>
      <c r="Z61" s="8"/>
    </row>
    <row r="62" spans="1:26" s="2" customFormat="1" x14ac:dyDescent="0.25">
      <c r="A62" s="3" t="s">
        <v>18</v>
      </c>
      <c r="B62" s="3">
        <v>2019</v>
      </c>
      <c r="C62" s="3" t="s">
        <v>17</v>
      </c>
      <c r="D62" s="3" t="s">
        <v>154</v>
      </c>
      <c r="E62" s="3">
        <v>16</v>
      </c>
      <c r="F62" s="3">
        <v>1</v>
      </c>
      <c r="G62" s="3">
        <v>1</v>
      </c>
      <c r="H62" s="2">
        <v>30</v>
      </c>
      <c r="I62" s="2">
        <v>1</v>
      </c>
      <c r="J62" s="2">
        <v>14</v>
      </c>
      <c r="K62" s="4">
        <v>970.4</v>
      </c>
      <c r="L62" s="4">
        <v>13.9</v>
      </c>
      <c r="M62" s="2">
        <v>2.5</v>
      </c>
      <c r="N62" s="6">
        <v>36.844500000000004</v>
      </c>
      <c r="O62" s="6">
        <v>20.070900000000002</v>
      </c>
      <c r="P62" s="6">
        <v>56.915400000000005</v>
      </c>
      <c r="Q62" s="2" t="s">
        <v>116</v>
      </c>
      <c r="R62" s="2" t="s">
        <v>122</v>
      </c>
      <c r="T62" s="6">
        <v>42.35</v>
      </c>
      <c r="U62" s="6">
        <v>23.07</v>
      </c>
      <c r="V62" s="6">
        <v>65.42</v>
      </c>
      <c r="W62" s="8" t="s">
        <v>119</v>
      </c>
      <c r="X62" s="8" t="s">
        <v>119</v>
      </c>
      <c r="Y62" s="8"/>
      <c r="Z62" s="8"/>
    </row>
    <row r="63" spans="1:26" s="2" customFormat="1" x14ac:dyDescent="0.25">
      <c r="A63" s="3" t="s">
        <v>18</v>
      </c>
      <c r="B63" s="3">
        <v>2019</v>
      </c>
      <c r="C63" s="3" t="s">
        <v>17</v>
      </c>
      <c r="D63" s="3" t="s">
        <v>154</v>
      </c>
      <c r="E63" s="3">
        <v>16</v>
      </c>
      <c r="F63" s="3">
        <v>2</v>
      </c>
      <c r="G63" s="3">
        <v>43</v>
      </c>
      <c r="H63" s="2">
        <v>22</v>
      </c>
      <c r="I63" s="2">
        <v>1</v>
      </c>
      <c r="J63" s="2">
        <v>16</v>
      </c>
      <c r="K63" s="4">
        <v>650.29999999999995</v>
      </c>
      <c r="L63" s="4">
        <v>14.1</v>
      </c>
      <c r="M63" s="2">
        <v>2</v>
      </c>
      <c r="N63" s="6">
        <v>38.001599999999996</v>
      </c>
      <c r="O63" s="6">
        <v>20.401499999999999</v>
      </c>
      <c r="P63" s="6">
        <v>58.403099999999995</v>
      </c>
      <c r="Q63" s="2" t="s">
        <v>116</v>
      </c>
      <c r="R63" s="2" t="s">
        <v>122</v>
      </c>
      <c r="T63" s="6">
        <v>43.68</v>
      </c>
      <c r="U63" s="6">
        <v>23.45</v>
      </c>
      <c r="V63" s="6">
        <v>67.13</v>
      </c>
      <c r="W63" s="2" t="s">
        <v>121</v>
      </c>
      <c r="X63" s="8" t="s">
        <v>119</v>
      </c>
      <c r="Y63" s="8"/>
      <c r="Z63" s="8"/>
    </row>
    <row r="64" spans="1:26" s="2" customFormat="1" x14ac:dyDescent="0.25">
      <c r="A64" s="3" t="s">
        <v>18</v>
      </c>
      <c r="B64" s="3">
        <v>2019</v>
      </c>
      <c r="C64" s="3" t="s">
        <v>17</v>
      </c>
      <c r="D64" s="3" t="s">
        <v>154</v>
      </c>
      <c r="E64" s="3">
        <v>16</v>
      </c>
      <c r="F64" s="3">
        <v>3</v>
      </c>
      <c r="G64" s="3">
        <v>53</v>
      </c>
      <c r="H64" s="2">
        <v>24</v>
      </c>
      <c r="I64" s="8" t="s">
        <v>119</v>
      </c>
      <c r="J64" s="8" t="s">
        <v>119</v>
      </c>
      <c r="K64" s="4">
        <v>1044.7</v>
      </c>
      <c r="L64" s="4">
        <v>14.6</v>
      </c>
      <c r="M64" s="2">
        <v>1.5</v>
      </c>
      <c r="N64" s="6">
        <v>36.957599999999999</v>
      </c>
      <c r="O64" s="6">
        <v>21.114899999999999</v>
      </c>
      <c r="P64" s="6">
        <v>58.072499999999998</v>
      </c>
      <c r="Q64" s="2" t="s">
        <v>116</v>
      </c>
      <c r="R64" s="2" t="s">
        <v>122</v>
      </c>
      <c r="T64" s="6">
        <v>42.48</v>
      </c>
      <c r="U64" s="6">
        <v>24.27</v>
      </c>
      <c r="V64" s="6">
        <v>66.75</v>
      </c>
      <c r="W64" s="8" t="s">
        <v>119</v>
      </c>
      <c r="X64" s="8" t="s">
        <v>119</v>
      </c>
      <c r="Y64" s="8"/>
      <c r="Z64" s="8"/>
    </row>
    <row r="65" spans="1:26" s="2" customFormat="1" x14ac:dyDescent="0.25">
      <c r="A65" s="3" t="s">
        <v>18</v>
      </c>
      <c r="B65" s="3">
        <v>2019</v>
      </c>
      <c r="C65" s="3" t="s">
        <v>17</v>
      </c>
      <c r="D65" s="3" t="s">
        <v>154</v>
      </c>
      <c r="E65" s="3">
        <v>16</v>
      </c>
      <c r="F65" s="3">
        <v>4</v>
      </c>
      <c r="G65" s="3">
        <v>82</v>
      </c>
      <c r="H65" s="8" t="s">
        <v>119</v>
      </c>
      <c r="I65" s="8" t="s">
        <v>119</v>
      </c>
      <c r="J65" s="8" t="s">
        <v>119</v>
      </c>
      <c r="K65" s="4">
        <v>965.2</v>
      </c>
      <c r="L65" s="4">
        <v>14.8</v>
      </c>
      <c r="M65" s="2">
        <v>2.5</v>
      </c>
      <c r="N65" s="8" t="s">
        <v>119</v>
      </c>
      <c r="O65" s="8" t="s">
        <v>119</v>
      </c>
      <c r="P65" s="6" t="s">
        <v>119</v>
      </c>
      <c r="Q65" s="2" t="s">
        <v>116</v>
      </c>
      <c r="R65" s="2" t="s">
        <v>122</v>
      </c>
      <c r="T65" s="8" t="s">
        <v>119</v>
      </c>
      <c r="U65" s="8" t="s">
        <v>119</v>
      </c>
      <c r="V65" s="8" t="s">
        <v>119</v>
      </c>
      <c r="W65" s="2" t="s">
        <v>118</v>
      </c>
      <c r="X65" s="8" t="s">
        <v>119</v>
      </c>
      <c r="Y65" s="8"/>
      <c r="Z65" s="8"/>
    </row>
    <row r="66" spans="1:26" s="2" customFormat="1" x14ac:dyDescent="0.25">
      <c r="A66" s="3" t="s">
        <v>18</v>
      </c>
      <c r="B66" s="3">
        <v>2019</v>
      </c>
      <c r="C66" s="3" t="s">
        <v>17</v>
      </c>
      <c r="D66" s="3" t="s">
        <v>155</v>
      </c>
      <c r="E66" s="3">
        <v>17</v>
      </c>
      <c r="F66" s="3">
        <v>1</v>
      </c>
      <c r="G66" s="3">
        <v>18</v>
      </c>
      <c r="H66" s="2">
        <v>25</v>
      </c>
      <c r="I66" s="2">
        <v>1.5</v>
      </c>
      <c r="J66" s="2">
        <v>38</v>
      </c>
      <c r="K66" s="4">
        <v>914</v>
      </c>
      <c r="L66" s="4">
        <v>15.7</v>
      </c>
      <c r="M66" s="2">
        <v>2</v>
      </c>
      <c r="N66" s="6">
        <v>41.055299999999995</v>
      </c>
      <c r="O66" s="6">
        <v>17.791499999999999</v>
      </c>
      <c r="P66" s="6">
        <v>58.846799999999995</v>
      </c>
      <c r="Q66" s="2" t="s">
        <v>116</v>
      </c>
      <c r="R66" s="2" t="s">
        <v>123</v>
      </c>
      <c r="T66" s="6">
        <v>47.19</v>
      </c>
      <c r="U66" s="6">
        <v>20.45</v>
      </c>
      <c r="V66" s="6">
        <v>67.64</v>
      </c>
      <c r="W66" s="8" t="s">
        <v>119</v>
      </c>
      <c r="X66" s="8" t="s">
        <v>119</v>
      </c>
      <c r="Y66" s="8"/>
      <c r="Z66" s="8"/>
    </row>
    <row r="67" spans="1:26" s="2" customFormat="1" x14ac:dyDescent="0.25">
      <c r="A67" s="3" t="s">
        <v>18</v>
      </c>
      <c r="B67" s="3">
        <v>2019</v>
      </c>
      <c r="C67" s="3" t="s">
        <v>17</v>
      </c>
      <c r="D67" s="3" t="s">
        <v>155</v>
      </c>
      <c r="E67" s="3">
        <v>17</v>
      </c>
      <c r="F67" s="3">
        <v>2</v>
      </c>
      <c r="G67" s="3">
        <v>49</v>
      </c>
      <c r="H67" s="2">
        <v>25</v>
      </c>
      <c r="I67" s="2">
        <v>1.5</v>
      </c>
      <c r="J67" s="2">
        <v>34</v>
      </c>
      <c r="K67" s="4">
        <v>899.7</v>
      </c>
      <c r="L67" s="4">
        <v>17.5</v>
      </c>
      <c r="M67" s="2">
        <v>2</v>
      </c>
      <c r="N67" s="6">
        <v>42.995400000000004</v>
      </c>
      <c r="O67" s="6">
        <v>17.191200000000002</v>
      </c>
      <c r="P67" s="6">
        <v>60.186600000000006</v>
      </c>
      <c r="Q67" s="2" t="s">
        <v>116</v>
      </c>
      <c r="R67" s="2" t="s">
        <v>123</v>
      </c>
      <c r="T67" s="6">
        <v>49.42</v>
      </c>
      <c r="U67" s="6">
        <v>19.760000000000002</v>
      </c>
      <c r="V67" s="6">
        <v>69.180000000000007</v>
      </c>
      <c r="W67" s="8" t="s">
        <v>119</v>
      </c>
      <c r="X67" s="8" t="s">
        <v>119</v>
      </c>
      <c r="Y67" s="8"/>
      <c r="Z67" s="8"/>
    </row>
    <row r="68" spans="1:26" s="2" customFormat="1" x14ac:dyDescent="0.25">
      <c r="A68" s="3" t="s">
        <v>18</v>
      </c>
      <c r="B68" s="3">
        <v>2019</v>
      </c>
      <c r="C68" s="3" t="s">
        <v>17</v>
      </c>
      <c r="D68" s="3" t="s">
        <v>155</v>
      </c>
      <c r="E68" s="3">
        <v>17</v>
      </c>
      <c r="F68" s="3">
        <v>3</v>
      </c>
      <c r="G68" s="3">
        <v>73</v>
      </c>
      <c r="H68" s="2">
        <v>30</v>
      </c>
      <c r="I68" s="8" t="s">
        <v>119</v>
      </c>
      <c r="J68" s="8" t="s">
        <v>119</v>
      </c>
      <c r="K68" s="4">
        <v>1498.5</v>
      </c>
      <c r="L68" s="4">
        <v>18.399999999999999</v>
      </c>
      <c r="M68" s="2">
        <v>2</v>
      </c>
      <c r="N68" s="6">
        <v>42.603899999999996</v>
      </c>
      <c r="O68" s="6">
        <v>17.956800000000001</v>
      </c>
      <c r="P68" s="6">
        <v>60.560699999999997</v>
      </c>
      <c r="Q68" s="2" t="s">
        <v>116</v>
      </c>
      <c r="R68" s="2" t="s">
        <v>123</v>
      </c>
      <c r="T68" s="6">
        <v>48.97</v>
      </c>
      <c r="U68" s="6">
        <v>20.64</v>
      </c>
      <c r="V68" s="6">
        <v>69.61</v>
      </c>
      <c r="W68" s="8" t="s">
        <v>119</v>
      </c>
      <c r="X68" s="8" t="s">
        <v>119</v>
      </c>
      <c r="Y68" s="8"/>
      <c r="Z68" s="8"/>
    </row>
    <row r="69" spans="1:26" s="2" customFormat="1" x14ac:dyDescent="0.25">
      <c r="A69" s="3" t="s">
        <v>18</v>
      </c>
      <c r="B69" s="3">
        <v>2019</v>
      </c>
      <c r="C69" s="3" t="s">
        <v>17</v>
      </c>
      <c r="D69" s="3" t="s">
        <v>155</v>
      </c>
      <c r="E69" s="3">
        <v>17</v>
      </c>
      <c r="F69" s="3">
        <v>4</v>
      </c>
      <c r="G69" s="3">
        <v>98</v>
      </c>
      <c r="H69" s="8" t="s">
        <v>119</v>
      </c>
      <c r="I69" s="8" t="s">
        <v>119</v>
      </c>
      <c r="J69" s="8" t="s">
        <v>119</v>
      </c>
      <c r="K69" s="4">
        <v>1581.9</v>
      </c>
      <c r="L69" s="4">
        <v>16.7</v>
      </c>
      <c r="M69" s="2">
        <v>2</v>
      </c>
      <c r="N69" s="8" t="s">
        <v>119</v>
      </c>
      <c r="O69" s="8" t="s">
        <v>119</v>
      </c>
      <c r="P69" s="6" t="s">
        <v>119</v>
      </c>
      <c r="Q69" s="2" t="s">
        <v>116</v>
      </c>
      <c r="R69" s="2" t="s">
        <v>123</v>
      </c>
      <c r="T69" s="8" t="s">
        <v>119</v>
      </c>
      <c r="U69" s="8" t="s">
        <v>119</v>
      </c>
      <c r="V69" s="8" t="s">
        <v>119</v>
      </c>
      <c r="W69" s="8" t="s">
        <v>119</v>
      </c>
      <c r="X69" s="8" t="s">
        <v>119</v>
      </c>
      <c r="Y69" s="8"/>
      <c r="Z69" s="8"/>
    </row>
    <row r="70" spans="1:26" s="2" customFormat="1" x14ac:dyDescent="0.25">
      <c r="A70" s="3" t="s">
        <v>18</v>
      </c>
      <c r="B70" s="3">
        <v>2019</v>
      </c>
      <c r="C70" s="3" t="s">
        <v>17</v>
      </c>
      <c r="D70" s="3" t="s">
        <v>156</v>
      </c>
      <c r="E70" s="3">
        <v>18</v>
      </c>
      <c r="F70" s="3">
        <v>1</v>
      </c>
      <c r="G70" s="3">
        <v>14</v>
      </c>
      <c r="H70" s="2">
        <v>27</v>
      </c>
      <c r="I70" s="2">
        <v>1</v>
      </c>
      <c r="J70" s="2">
        <v>18</v>
      </c>
      <c r="K70" s="4" t="s">
        <v>119</v>
      </c>
      <c r="L70" s="4">
        <v>15.9</v>
      </c>
      <c r="M70" s="2">
        <v>2</v>
      </c>
      <c r="N70" s="6">
        <v>39.167400000000001</v>
      </c>
      <c r="O70" s="6">
        <v>20.688600000000001</v>
      </c>
      <c r="P70" s="6">
        <v>59.856000000000002</v>
      </c>
      <c r="Q70" s="2" t="s">
        <v>116</v>
      </c>
      <c r="R70" s="2" t="s">
        <v>123</v>
      </c>
      <c r="T70" s="6">
        <v>45.02</v>
      </c>
      <c r="U70" s="6">
        <v>23.78</v>
      </c>
      <c r="V70" s="6">
        <v>68.800000000000011</v>
      </c>
      <c r="W70" s="2" t="s">
        <v>121</v>
      </c>
      <c r="X70" s="8" t="s">
        <v>119</v>
      </c>
      <c r="Y70" s="8"/>
      <c r="Z70" s="8"/>
    </row>
    <row r="71" spans="1:26" s="2" customFormat="1" x14ac:dyDescent="0.25">
      <c r="A71" s="3" t="s">
        <v>18</v>
      </c>
      <c r="B71" s="3">
        <v>2019</v>
      </c>
      <c r="C71" s="3" t="s">
        <v>17</v>
      </c>
      <c r="D71" s="3" t="s">
        <v>156</v>
      </c>
      <c r="E71" s="3">
        <v>18</v>
      </c>
      <c r="F71" s="3">
        <v>2</v>
      </c>
      <c r="G71" s="3">
        <v>37</v>
      </c>
      <c r="H71" s="2">
        <v>26</v>
      </c>
      <c r="I71" s="2">
        <v>1</v>
      </c>
      <c r="J71" s="2">
        <v>18</v>
      </c>
      <c r="K71" s="4" t="s">
        <v>119</v>
      </c>
      <c r="L71" s="4">
        <v>17.2</v>
      </c>
      <c r="M71" s="2">
        <v>2.5</v>
      </c>
      <c r="N71" s="6">
        <v>37.827599999999997</v>
      </c>
      <c r="O71" s="6">
        <v>21.019200000000001</v>
      </c>
      <c r="P71" s="6">
        <v>58.846800000000002</v>
      </c>
      <c r="Q71" s="2" t="s">
        <v>116</v>
      </c>
      <c r="R71" s="2" t="s">
        <v>123</v>
      </c>
      <c r="T71" s="6">
        <v>43.48</v>
      </c>
      <c r="U71" s="6">
        <v>24.16</v>
      </c>
      <c r="V71" s="6">
        <v>67.64</v>
      </c>
      <c r="W71" s="8" t="s">
        <v>119</v>
      </c>
      <c r="X71" s="8" t="s">
        <v>119</v>
      </c>
      <c r="Y71" s="8"/>
      <c r="Z71" s="8"/>
    </row>
    <row r="72" spans="1:26" s="2" customFormat="1" x14ac:dyDescent="0.25">
      <c r="A72" s="3" t="s">
        <v>18</v>
      </c>
      <c r="B72" s="3">
        <v>2019</v>
      </c>
      <c r="C72" s="3" t="s">
        <v>17</v>
      </c>
      <c r="D72" s="3" t="s">
        <v>156</v>
      </c>
      <c r="E72" s="3">
        <v>18</v>
      </c>
      <c r="F72" s="3">
        <v>3</v>
      </c>
      <c r="G72" s="3">
        <v>74</v>
      </c>
      <c r="H72" s="2">
        <v>26</v>
      </c>
      <c r="I72" s="8" t="s">
        <v>119</v>
      </c>
      <c r="J72" s="8" t="s">
        <v>119</v>
      </c>
      <c r="K72" s="4">
        <v>1579.7</v>
      </c>
      <c r="L72" s="4">
        <v>17.2</v>
      </c>
      <c r="M72" s="2">
        <v>2</v>
      </c>
      <c r="N72" s="6">
        <v>35.913600000000002</v>
      </c>
      <c r="O72" s="6">
        <v>21.375900000000001</v>
      </c>
      <c r="P72" s="6">
        <v>57.289500000000004</v>
      </c>
      <c r="Q72" s="2" t="s">
        <v>116</v>
      </c>
      <c r="R72" s="2" t="s">
        <v>123</v>
      </c>
      <c r="T72" s="6">
        <v>41.28</v>
      </c>
      <c r="U72" s="6">
        <v>24.57</v>
      </c>
      <c r="V72" s="6">
        <v>65.849999999999994</v>
      </c>
      <c r="W72" s="8" t="s">
        <v>119</v>
      </c>
      <c r="X72" s="8" t="s">
        <v>119</v>
      </c>
      <c r="Y72" s="8"/>
      <c r="Z72" s="8"/>
    </row>
    <row r="73" spans="1:26" s="2" customFormat="1" x14ac:dyDescent="0.25">
      <c r="A73" s="3" t="s">
        <v>18</v>
      </c>
      <c r="B73" s="3">
        <v>2019</v>
      </c>
      <c r="C73" s="3" t="s">
        <v>17</v>
      </c>
      <c r="D73" s="3" t="s">
        <v>156</v>
      </c>
      <c r="E73" s="3">
        <v>18</v>
      </c>
      <c r="F73" s="3">
        <v>4</v>
      </c>
      <c r="G73" s="3">
        <v>90</v>
      </c>
      <c r="H73" s="8" t="s">
        <v>119</v>
      </c>
      <c r="I73" s="8" t="s">
        <v>119</v>
      </c>
      <c r="J73" s="8" t="s">
        <v>119</v>
      </c>
      <c r="K73" s="4">
        <v>1158.9000000000001</v>
      </c>
      <c r="L73" s="4">
        <v>17.899999999999999</v>
      </c>
      <c r="M73" s="2">
        <v>3</v>
      </c>
      <c r="N73" s="8" t="s">
        <v>119</v>
      </c>
      <c r="O73" s="8" t="s">
        <v>119</v>
      </c>
      <c r="P73" s="6" t="s">
        <v>119</v>
      </c>
      <c r="Q73" s="2" t="s">
        <v>116</v>
      </c>
      <c r="R73" s="2" t="s">
        <v>123</v>
      </c>
      <c r="T73" s="8" t="s">
        <v>119</v>
      </c>
      <c r="U73" s="8" t="s">
        <v>119</v>
      </c>
      <c r="V73" s="8" t="s">
        <v>119</v>
      </c>
      <c r="W73" s="8" t="s">
        <v>119</v>
      </c>
      <c r="X73" s="8" t="s">
        <v>119</v>
      </c>
      <c r="Y73" s="8"/>
      <c r="Z73" s="8"/>
    </row>
    <row r="74" spans="1:26" s="2" customFormat="1" x14ac:dyDescent="0.25">
      <c r="A74" s="3" t="s">
        <v>18</v>
      </c>
      <c r="B74" s="3">
        <v>2019</v>
      </c>
      <c r="C74" s="3" t="s">
        <v>17</v>
      </c>
      <c r="D74" s="3" t="s">
        <v>157</v>
      </c>
      <c r="E74" s="3">
        <v>19</v>
      </c>
      <c r="F74" s="3">
        <v>1</v>
      </c>
      <c r="G74" s="3">
        <v>24</v>
      </c>
      <c r="H74" s="2">
        <v>29</v>
      </c>
      <c r="I74" s="2">
        <v>1.5</v>
      </c>
      <c r="J74" s="2">
        <v>40</v>
      </c>
      <c r="K74" s="4">
        <v>670.2</v>
      </c>
      <c r="L74" s="4">
        <v>13.1</v>
      </c>
      <c r="M74" s="2">
        <v>3.5</v>
      </c>
      <c r="N74" s="6">
        <v>38.680199999999999</v>
      </c>
      <c r="O74" s="6">
        <v>19.644599999999997</v>
      </c>
      <c r="P74" s="6">
        <v>58.324799999999996</v>
      </c>
      <c r="Q74" s="2" t="s">
        <v>117</v>
      </c>
      <c r="R74" s="2" t="s">
        <v>122</v>
      </c>
      <c r="T74" s="6">
        <v>44.46</v>
      </c>
      <c r="U74" s="6">
        <v>22.58</v>
      </c>
      <c r="V74" s="6">
        <v>67.039999999999992</v>
      </c>
      <c r="W74" s="8" t="s">
        <v>119</v>
      </c>
      <c r="X74" s="2" t="s">
        <v>126</v>
      </c>
      <c r="Y74" s="8"/>
      <c r="Z74" s="8"/>
    </row>
    <row r="75" spans="1:26" s="2" customFormat="1" x14ac:dyDescent="0.25">
      <c r="A75" s="3" t="s">
        <v>18</v>
      </c>
      <c r="B75" s="3">
        <v>2019</v>
      </c>
      <c r="C75" s="3" t="s">
        <v>17</v>
      </c>
      <c r="D75" s="3" t="s">
        <v>157</v>
      </c>
      <c r="E75" s="3">
        <v>19</v>
      </c>
      <c r="F75" s="3">
        <v>2</v>
      </c>
      <c r="G75" s="3">
        <v>28</v>
      </c>
      <c r="H75" s="2">
        <v>25</v>
      </c>
      <c r="I75" s="2">
        <v>1.5</v>
      </c>
      <c r="J75" s="2">
        <v>32</v>
      </c>
      <c r="K75" s="4" t="s">
        <v>119</v>
      </c>
      <c r="L75" s="4">
        <v>11.3</v>
      </c>
      <c r="M75" s="2">
        <v>4</v>
      </c>
      <c r="N75" s="6">
        <v>39.15</v>
      </c>
      <c r="O75" s="6">
        <v>18.852900000000002</v>
      </c>
      <c r="P75" s="6">
        <v>58.002899999999997</v>
      </c>
      <c r="Q75" s="2" t="s">
        <v>117</v>
      </c>
      <c r="R75" s="2" t="s">
        <v>122</v>
      </c>
      <c r="T75" s="6">
        <v>45</v>
      </c>
      <c r="U75" s="6">
        <v>21.67</v>
      </c>
      <c r="V75" s="6">
        <v>66.67</v>
      </c>
      <c r="W75" s="8" t="s">
        <v>119</v>
      </c>
      <c r="X75" s="2" t="s">
        <v>126</v>
      </c>
      <c r="Y75" s="8"/>
      <c r="Z75" s="8"/>
    </row>
    <row r="76" spans="1:26" s="2" customFormat="1" x14ac:dyDescent="0.25">
      <c r="A76" s="3" t="s">
        <v>18</v>
      </c>
      <c r="B76" s="3">
        <v>2019</v>
      </c>
      <c r="C76" s="3" t="s">
        <v>17</v>
      </c>
      <c r="D76" s="3" t="s">
        <v>157</v>
      </c>
      <c r="E76" s="3">
        <v>19</v>
      </c>
      <c r="F76" s="3">
        <v>3</v>
      </c>
      <c r="G76" s="3">
        <v>69</v>
      </c>
      <c r="H76" s="2">
        <v>30</v>
      </c>
      <c r="I76" s="8" t="s">
        <v>119</v>
      </c>
      <c r="J76" s="8" t="s">
        <v>119</v>
      </c>
      <c r="K76" s="4">
        <v>1006.9</v>
      </c>
      <c r="L76" s="4">
        <v>15.1</v>
      </c>
      <c r="M76" s="2">
        <v>2</v>
      </c>
      <c r="N76" s="6">
        <v>37.575299999999999</v>
      </c>
      <c r="O76" s="6">
        <v>19.705499999999997</v>
      </c>
      <c r="P76" s="6">
        <v>57.280799999999999</v>
      </c>
      <c r="Q76" s="2" t="s">
        <v>117</v>
      </c>
      <c r="R76" s="2" t="s">
        <v>122</v>
      </c>
      <c r="T76" s="6">
        <v>43.19</v>
      </c>
      <c r="U76" s="6">
        <v>22.65</v>
      </c>
      <c r="V76" s="6">
        <v>65.84</v>
      </c>
      <c r="W76" s="8" t="s">
        <v>119</v>
      </c>
      <c r="X76" s="2" t="s">
        <v>126</v>
      </c>
      <c r="Y76" s="8"/>
      <c r="Z76" s="8"/>
    </row>
    <row r="77" spans="1:26" s="2" customFormat="1" x14ac:dyDescent="0.25">
      <c r="A77" s="3" t="s">
        <v>18</v>
      </c>
      <c r="B77" s="3">
        <v>2019</v>
      </c>
      <c r="C77" s="3" t="s">
        <v>17</v>
      </c>
      <c r="D77" s="3" t="s">
        <v>157</v>
      </c>
      <c r="E77" s="3">
        <v>19</v>
      </c>
      <c r="F77" s="3">
        <v>4</v>
      </c>
      <c r="G77" s="3">
        <v>92</v>
      </c>
      <c r="H77" s="8" t="s">
        <v>119</v>
      </c>
      <c r="I77" s="8" t="s">
        <v>119</v>
      </c>
      <c r="J77" s="8" t="s">
        <v>119</v>
      </c>
      <c r="K77" s="4">
        <v>1364.2</v>
      </c>
      <c r="L77" s="4">
        <v>15.9</v>
      </c>
      <c r="M77" s="2">
        <v>2.5</v>
      </c>
      <c r="N77" s="8" t="s">
        <v>119</v>
      </c>
      <c r="O77" s="8" t="s">
        <v>119</v>
      </c>
      <c r="P77" s="6" t="s">
        <v>119</v>
      </c>
      <c r="Q77" s="2" t="s">
        <v>117</v>
      </c>
      <c r="R77" s="2" t="s">
        <v>122</v>
      </c>
      <c r="T77" s="8" t="s">
        <v>119</v>
      </c>
      <c r="U77" s="8" t="s">
        <v>119</v>
      </c>
      <c r="V77" s="8" t="s">
        <v>119</v>
      </c>
      <c r="W77" s="8" t="s">
        <v>119</v>
      </c>
      <c r="X77" s="2" t="s">
        <v>126</v>
      </c>
      <c r="Y77" s="8"/>
      <c r="Z77" s="8"/>
    </row>
    <row r="78" spans="1:26" s="2" customFormat="1" x14ac:dyDescent="0.25">
      <c r="A78" s="3" t="s">
        <v>18</v>
      </c>
      <c r="B78" s="3">
        <v>2019</v>
      </c>
      <c r="C78" s="3" t="s">
        <v>17</v>
      </c>
      <c r="D78" s="3" t="s">
        <v>158</v>
      </c>
      <c r="E78" s="3">
        <v>20</v>
      </c>
      <c r="F78" s="3">
        <v>1</v>
      </c>
      <c r="G78" s="3">
        <v>3</v>
      </c>
      <c r="H78" s="2">
        <v>25</v>
      </c>
      <c r="I78" s="2">
        <v>1</v>
      </c>
      <c r="J78" s="2">
        <v>17</v>
      </c>
      <c r="K78" s="4">
        <v>1135.3</v>
      </c>
      <c r="L78" s="4">
        <v>13.4</v>
      </c>
      <c r="M78" s="2">
        <v>2.5</v>
      </c>
      <c r="N78" s="6">
        <v>37.592700000000001</v>
      </c>
      <c r="O78" s="6">
        <v>19.122600000000002</v>
      </c>
      <c r="P78" s="6">
        <v>56.715299999999999</v>
      </c>
      <c r="Q78" s="2" t="s">
        <v>116</v>
      </c>
      <c r="R78" s="2" t="s">
        <v>122</v>
      </c>
      <c r="T78" s="6">
        <v>43.21</v>
      </c>
      <c r="U78" s="6">
        <v>21.98</v>
      </c>
      <c r="V78" s="6">
        <v>65.19</v>
      </c>
      <c r="W78" s="8" t="s">
        <v>119</v>
      </c>
      <c r="X78" s="8" t="s">
        <v>119</v>
      </c>
      <c r="Y78" s="8"/>
      <c r="Z78" s="8"/>
    </row>
    <row r="79" spans="1:26" s="2" customFormat="1" x14ac:dyDescent="0.25">
      <c r="A79" s="3" t="s">
        <v>18</v>
      </c>
      <c r="B79" s="3">
        <v>2019</v>
      </c>
      <c r="C79" s="3" t="s">
        <v>17</v>
      </c>
      <c r="D79" s="3" t="s">
        <v>158</v>
      </c>
      <c r="E79" s="3">
        <v>20</v>
      </c>
      <c r="F79" s="3">
        <v>2</v>
      </c>
      <c r="G79" s="3">
        <v>44</v>
      </c>
      <c r="H79" s="2">
        <v>22</v>
      </c>
      <c r="I79" s="2">
        <v>1</v>
      </c>
      <c r="J79" s="2">
        <v>18</v>
      </c>
      <c r="K79" s="4">
        <v>936.3</v>
      </c>
      <c r="L79" s="4">
        <v>14</v>
      </c>
      <c r="M79" s="2">
        <v>2.5</v>
      </c>
      <c r="N79" s="6">
        <v>38.454000000000001</v>
      </c>
      <c r="O79" s="6">
        <v>19.383600000000001</v>
      </c>
      <c r="P79" s="6">
        <v>57.837600000000002</v>
      </c>
      <c r="Q79" s="2" t="s">
        <v>116</v>
      </c>
      <c r="R79" s="2" t="s">
        <v>122</v>
      </c>
      <c r="T79" s="6">
        <v>44.2</v>
      </c>
      <c r="U79" s="6">
        <v>22.28</v>
      </c>
      <c r="V79" s="6">
        <v>66.48</v>
      </c>
      <c r="W79" s="8" t="s">
        <v>119</v>
      </c>
      <c r="X79" s="8" t="s">
        <v>119</v>
      </c>
      <c r="Y79" s="8"/>
      <c r="Z79" s="8"/>
    </row>
    <row r="80" spans="1:26" s="2" customFormat="1" x14ac:dyDescent="0.25">
      <c r="A80" s="3" t="s">
        <v>18</v>
      </c>
      <c r="B80" s="3">
        <v>2019</v>
      </c>
      <c r="C80" s="3" t="s">
        <v>17</v>
      </c>
      <c r="D80" s="3" t="s">
        <v>158</v>
      </c>
      <c r="E80" s="3">
        <v>20</v>
      </c>
      <c r="F80" s="3">
        <v>3</v>
      </c>
      <c r="G80" s="3">
        <v>51</v>
      </c>
      <c r="H80" s="2">
        <v>22</v>
      </c>
      <c r="I80" s="8" t="s">
        <v>119</v>
      </c>
      <c r="J80" s="8" t="s">
        <v>119</v>
      </c>
      <c r="K80" s="4">
        <v>1240.3</v>
      </c>
      <c r="L80" s="4">
        <v>14.2</v>
      </c>
      <c r="M80" s="2">
        <v>2</v>
      </c>
      <c r="N80" s="6">
        <v>37.610099999999996</v>
      </c>
      <c r="O80" s="6">
        <v>19.748999999999999</v>
      </c>
      <c r="P80" s="6">
        <v>57.359099999999998</v>
      </c>
      <c r="Q80" s="2" t="s">
        <v>116</v>
      </c>
      <c r="R80" s="2" t="s">
        <v>122</v>
      </c>
      <c r="T80" s="6">
        <v>43.23</v>
      </c>
      <c r="U80" s="6">
        <v>22.7</v>
      </c>
      <c r="V80" s="6">
        <v>65.929999999999993</v>
      </c>
      <c r="W80" s="8" t="s">
        <v>119</v>
      </c>
      <c r="X80" s="8" t="s">
        <v>119</v>
      </c>
      <c r="Y80" s="8"/>
      <c r="Z80" s="8"/>
    </row>
    <row r="81" spans="1:26" s="2" customFormat="1" x14ac:dyDescent="0.25">
      <c r="A81" s="3" t="s">
        <v>18</v>
      </c>
      <c r="B81" s="3">
        <v>2019</v>
      </c>
      <c r="C81" s="3" t="s">
        <v>17</v>
      </c>
      <c r="D81" s="3" t="s">
        <v>158</v>
      </c>
      <c r="E81" s="3">
        <v>20</v>
      </c>
      <c r="F81" s="3">
        <v>4</v>
      </c>
      <c r="G81" s="3">
        <v>95</v>
      </c>
      <c r="H81" s="8" t="s">
        <v>119</v>
      </c>
      <c r="I81" s="8" t="s">
        <v>119</v>
      </c>
      <c r="J81" s="8" t="s">
        <v>119</v>
      </c>
      <c r="K81" s="4" t="s">
        <v>119</v>
      </c>
      <c r="L81" s="4">
        <v>13.3</v>
      </c>
      <c r="M81" s="2">
        <v>3</v>
      </c>
      <c r="N81" s="8" t="s">
        <v>119</v>
      </c>
      <c r="O81" s="8" t="s">
        <v>119</v>
      </c>
      <c r="P81" s="6" t="s">
        <v>119</v>
      </c>
      <c r="Q81" s="2" t="s">
        <v>116</v>
      </c>
      <c r="R81" s="2" t="s">
        <v>122</v>
      </c>
      <c r="T81" s="8" t="s">
        <v>119</v>
      </c>
      <c r="U81" s="8" t="s">
        <v>119</v>
      </c>
      <c r="V81" s="8" t="s">
        <v>119</v>
      </c>
      <c r="W81" s="8" t="s">
        <v>119</v>
      </c>
      <c r="X81" s="8" t="s">
        <v>119</v>
      </c>
      <c r="Y81" s="8"/>
      <c r="Z81" s="8"/>
    </row>
    <row r="82" spans="1:26" s="2" customFormat="1" x14ac:dyDescent="0.25">
      <c r="A82" s="3" t="s">
        <v>18</v>
      </c>
      <c r="B82" s="3">
        <v>2019</v>
      </c>
      <c r="C82" s="3" t="s">
        <v>17</v>
      </c>
      <c r="D82" s="3" t="s">
        <v>159</v>
      </c>
      <c r="E82" s="3">
        <v>21</v>
      </c>
      <c r="F82" s="3">
        <v>1</v>
      </c>
      <c r="G82" s="3">
        <v>10</v>
      </c>
      <c r="H82" s="2">
        <v>27</v>
      </c>
      <c r="I82" s="2">
        <v>2</v>
      </c>
      <c r="J82" s="2">
        <v>42</v>
      </c>
      <c r="K82" s="4">
        <v>965.1</v>
      </c>
      <c r="L82" s="4">
        <v>18</v>
      </c>
      <c r="M82" s="2">
        <v>2</v>
      </c>
      <c r="N82" s="6">
        <v>38.053800000000003</v>
      </c>
      <c r="O82" s="6">
        <v>19.235699999999998</v>
      </c>
      <c r="P82" s="6">
        <v>57.289500000000004</v>
      </c>
      <c r="Q82" s="2" t="s">
        <v>116</v>
      </c>
      <c r="R82" s="2" t="s">
        <v>123</v>
      </c>
      <c r="T82" s="6">
        <v>43.74</v>
      </c>
      <c r="U82" s="6">
        <v>22.11</v>
      </c>
      <c r="V82" s="6">
        <v>65.849999999999994</v>
      </c>
      <c r="W82" s="8" t="s">
        <v>119</v>
      </c>
      <c r="X82" s="8" t="s">
        <v>119</v>
      </c>
      <c r="Y82" s="8"/>
      <c r="Z82" s="8"/>
    </row>
    <row r="83" spans="1:26" s="2" customFormat="1" x14ac:dyDescent="0.25">
      <c r="A83" s="3" t="s">
        <v>18</v>
      </c>
      <c r="B83" s="3">
        <v>2019</v>
      </c>
      <c r="C83" s="3" t="s">
        <v>17</v>
      </c>
      <c r="D83" s="3" t="s">
        <v>159</v>
      </c>
      <c r="E83" s="3">
        <v>21</v>
      </c>
      <c r="F83" s="3">
        <v>2</v>
      </c>
      <c r="G83" s="3">
        <v>29</v>
      </c>
      <c r="H83" s="2">
        <v>30</v>
      </c>
      <c r="I83" s="2">
        <v>1.5</v>
      </c>
      <c r="J83" s="2">
        <v>35</v>
      </c>
      <c r="K83" s="4" t="s">
        <v>119</v>
      </c>
      <c r="L83" s="4">
        <v>18.3</v>
      </c>
      <c r="M83" s="2">
        <v>3</v>
      </c>
      <c r="N83" s="6">
        <v>40.481099999999998</v>
      </c>
      <c r="O83" s="6">
        <v>18.296099999999999</v>
      </c>
      <c r="P83" s="6">
        <v>58.777199999999993</v>
      </c>
      <c r="Q83" s="2" t="s">
        <v>116</v>
      </c>
      <c r="R83" s="2" t="s">
        <v>123</v>
      </c>
      <c r="T83" s="6">
        <v>46.53</v>
      </c>
      <c r="U83" s="6">
        <v>21.03</v>
      </c>
      <c r="V83" s="6">
        <v>67.56</v>
      </c>
      <c r="W83" s="8" t="s">
        <v>119</v>
      </c>
      <c r="X83" s="8" t="s">
        <v>119</v>
      </c>
      <c r="Y83" s="8"/>
      <c r="Z83" s="8"/>
    </row>
    <row r="84" spans="1:26" s="2" customFormat="1" x14ac:dyDescent="0.25">
      <c r="A84" s="3" t="s">
        <v>18</v>
      </c>
      <c r="B84" s="3">
        <v>2019</v>
      </c>
      <c r="C84" s="3" t="s">
        <v>17</v>
      </c>
      <c r="D84" s="3" t="s">
        <v>159</v>
      </c>
      <c r="E84" s="3">
        <v>21</v>
      </c>
      <c r="F84" s="3">
        <v>3</v>
      </c>
      <c r="G84" s="3">
        <v>71</v>
      </c>
      <c r="H84" s="2">
        <v>30</v>
      </c>
      <c r="I84" s="8" t="s">
        <v>119</v>
      </c>
      <c r="J84" s="8" t="s">
        <v>119</v>
      </c>
      <c r="K84" s="4">
        <v>1345.6</v>
      </c>
      <c r="L84" s="4">
        <v>17.100000000000001</v>
      </c>
      <c r="M84" s="2">
        <v>2</v>
      </c>
      <c r="N84" s="6">
        <v>39.706800000000001</v>
      </c>
      <c r="O84" s="6">
        <v>18.913799999999998</v>
      </c>
      <c r="P84" s="6">
        <v>58.620599999999996</v>
      </c>
      <c r="Q84" s="2" t="s">
        <v>116</v>
      </c>
      <c r="R84" s="2" t="s">
        <v>123</v>
      </c>
      <c r="T84" s="6">
        <v>45.64</v>
      </c>
      <c r="U84" s="6">
        <v>21.74</v>
      </c>
      <c r="V84" s="6">
        <v>67.38</v>
      </c>
      <c r="W84" s="8" t="s">
        <v>119</v>
      </c>
      <c r="X84" s="8" t="s">
        <v>119</v>
      </c>
      <c r="Y84" s="8"/>
      <c r="Z84" s="8"/>
    </row>
    <row r="85" spans="1:26" s="2" customFormat="1" x14ac:dyDescent="0.25">
      <c r="A85" s="3" t="s">
        <v>18</v>
      </c>
      <c r="B85" s="3">
        <v>2019</v>
      </c>
      <c r="C85" s="3" t="s">
        <v>17</v>
      </c>
      <c r="D85" s="3" t="s">
        <v>159</v>
      </c>
      <c r="E85" s="3">
        <v>21</v>
      </c>
      <c r="F85" s="3">
        <v>4</v>
      </c>
      <c r="G85" s="3">
        <v>84</v>
      </c>
      <c r="H85" s="8" t="s">
        <v>119</v>
      </c>
      <c r="I85" s="8" t="s">
        <v>119</v>
      </c>
      <c r="J85" s="8" t="s">
        <v>119</v>
      </c>
      <c r="K85" s="4">
        <v>1054.4000000000001</v>
      </c>
      <c r="L85" s="4">
        <v>18.3</v>
      </c>
      <c r="M85" s="2">
        <v>3.5</v>
      </c>
      <c r="N85" s="8" t="s">
        <v>119</v>
      </c>
      <c r="O85" s="8" t="s">
        <v>119</v>
      </c>
      <c r="P85" s="6" t="s">
        <v>119</v>
      </c>
      <c r="Q85" s="2" t="s">
        <v>116</v>
      </c>
      <c r="R85" s="2" t="s">
        <v>123</v>
      </c>
      <c r="T85" s="8" t="s">
        <v>119</v>
      </c>
      <c r="U85" s="8" t="s">
        <v>119</v>
      </c>
      <c r="V85" s="8" t="s">
        <v>119</v>
      </c>
      <c r="W85" s="8" t="s">
        <v>119</v>
      </c>
      <c r="X85" s="2" t="s">
        <v>126</v>
      </c>
      <c r="Y85" s="8"/>
      <c r="Z85" s="8"/>
    </row>
    <row r="86" spans="1:26" s="2" customFormat="1" x14ac:dyDescent="0.25">
      <c r="A86" s="3" t="s">
        <v>18</v>
      </c>
      <c r="B86" s="3">
        <v>2019</v>
      </c>
      <c r="C86" s="3" t="s">
        <v>17</v>
      </c>
      <c r="D86" s="3" t="s">
        <v>160</v>
      </c>
      <c r="E86" s="3">
        <v>22</v>
      </c>
      <c r="F86" s="3">
        <v>1</v>
      </c>
      <c r="G86" s="3">
        <v>20</v>
      </c>
      <c r="H86" s="2">
        <v>26</v>
      </c>
      <c r="I86" s="2">
        <v>2</v>
      </c>
      <c r="J86" s="2">
        <v>32</v>
      </c>
      <c r="K86" s="4">
        <v>1098</v>
      </c>
      <c r="L86" s="4">
        <v>15.3</v>
      </c>
      <c r="M86" s="2">
        <v>4</v>
      </c>
      <c r="N86" s="6">
        <v>37.549199999999999</v>
      </c>
      <c r="O86" s="6">
        <v>20.244900000000001</v>
      </c>
      <c r="P86" s="6">
        <v>57.7941</v>
      </c>
      <c r="Q86" s="2" t="s">
        <v>116</v>
      </c>
      <c r="R86" s="2" t="s">
        <v>122</v>
      </c>
      <c r="T86" s="6">
        <v>43.16</v>
      </c>
      <c r="U86" s="6">
        <v>23.27</v>
      </c>
      <c r="V86" s="6">
        <v>66.429999999999993</v>
      </c>
      <c r="W86" s="8" t="s">
        <v>119</v>
      </c>
      <c r="X86" s="2" t="s">
        <v>126</v>
      </c>
      <c r="Y86" s="8"/>
      <c r="Z86" s="8"/>
    </row>
    <row r="87" spans="1:26" s="2" customFormat="1" x14ac:dyDescent="0.25">
      <c r="A87" s="3" t="s">
        <v>18</v>
      </c>
      <c r="B87" s="3">
        <v>2019</v>
      </c>
      <c r="C87" s="3" t="s">
        <v>17</v>
      </c>
      <c r="D87" s="3" t="s">
        <v>160</v>
      </c>
      <c r="E87" s="3">
        <v>22</v>
      </c>
      <c r="F87" s="3">
        <v>2</v>
      </c>
      <c r="G87" s="3">
        <v>40</v>
      </c>
      <c r="H87" s="2">
        <v>26</v>
      </c>
      <c r="I87" s="2">
        <v>2</v>
      </c>
      <c r="J87" s="2">
        <v>28</v>
      </c>
      <c r="K87" s="4">
        <v>1038.5</v>
      </c>
      <c r="L87" s="4">
        <v>15.9</v>
      </c>
      <c r="M87" s="2">
        <v>4</v>
      </c>
      <c r="N87" s="6">
        <v>36.966300000000004</v>
      </c>
      <c r="O87" s="6">
        <v>20.392800000000001</v>
      </c>
      <c r="P87" s="6">
        <v>57.359100000000005</v>
      </c>
      <c r="Q87" s="2" t="s">
        <v>116</v>
      </c>
      <c r="R87" s="2" t="s">
        <v>122</v>
      </c>
      <c r="T87" s="6">
        <v>42.49</v>
      </c>
      <c r="U87" s="6">
        <v>23.44</v>
      </c>
      <c r="V87" s="6">
        <v>65.930000000000007</v>
      </c>
      <c r="W87" s="8" t="s">
        <v>119</v>
      </c>
      <c r="X87" s="2" t="s">
        <v>126</v>
      </c>
      <c r="Y87" s="8"/>
      <c r="Z87" s="8"/>
    </row>
    <row r="88" spans="1:26" s="2" customFormat="1" x14ac:dyDescent="0.25">
      <c r="A88" s="3" t="s">
        <v>18</v>
      </c>
      <c r="B88" s="3">
        <v>2019</v>
      </c>
      <c r="C88" s="3" t="s">
        <v>17</v>
      </c>
      <c r="D88" s="3" t="s">
        <v>160</v>
      </c>
      <c r="E88" s="3">
        <v>22</v>
      </c>
      <c r="F88" s="3">
        <v>3</v>
      </c>
      <c r="G88" s="3">
        <v>55</v>
      </c>
      <c r="H88" s="2">
        <v>25</v>
      </c>
      <c r="I88" s="8" t="s">
        <v>119</v>
      </c>
      <c r="J88" s="8" t="s">
        <v>119</v>
      </c>
      <c r="K88" s="4" t="s">
        <v>119</v>
      </c>
      <c r="L88" s="4">
        <v>11.9</v>
      </c>
      <c r="M88" s="2">
        <v>4</v>
      </c>
      <c r="N88" s="6">
        <v>37.305600000000005</v>
      </c>
      <c r="O88" s="6">
        <v>20.418899999999997</v>
      </c>
      <c r="P88" s="6">
        <v>57.724500000000006</v>
      </c>
      <c r="Q88" s="2" t="s">
        <v>116</v>
      </c>
      <c r="R88" s="2" t="s">
        <v>122</v>
      </c>
      <c r="T88" s="6">
        <v>42.88</v>
      </c>
      <c r="U88" s="6">
        <v>23.47</v>
      </c>
      <c r="V88" s="6">
        <v>66.349999999999994</v>
      </c>
      <c r="W88" s="8" t="s">
        <v>119</v>
      </c>
      <c r="X88" s="2" t="s">
        <v>126</v>
      </c>
      <c r="Y88" s="8"/>
      <c r="Z88" s="8"/>
    </row>
    <row r="89" spans="1:26" s="2" customFormat="1" x14ac:dyDescent="0.25">
      <c r="A89" s="3" t="s">
        <v>18</v>
      </c>
      <c r="B89" s="3">
        <v>2019</v>
      </c>
      <c r="C89" s="3" t="s">
        <v>17</v>
      </c>
      <c r="D89" s="3" t="s">
        <v>160</v>
      </c>
      <c r="E89" s="3">
        <v>22</v>
      </c>
      <c r="F89" s="3">
        <v>4</v>
      </c>
      <c r="G89" s="3">
        <v>94</v>
      </c>
      <c r="H89" s="8" t="s">
        <v>119</v>
      </c>
      <c r="I89" s="8" t="s">
        <v>119</v>
      </c>
      <c r="J89" s="8" t="s">
        <v>119</v>
      </c>
      <c r="K89" s="4">
        <v>989.6</v>
      </c>
      <c r="L89" s="4">
        <v>14.5</v>
      </c>
      <c r="M89" s="2">
        <v>4</v>
      </c>
      <c r="N89" s="8" t="s">
        <v>119</v>
      </c>
      <c r="O89" s="8" t="s">
        <v>119</v>
      </c>
      <c r="P89" s="6" t="s">
        <v>119</v>
      </c>
      <c r="Q89" s="2" t="s">
        <v>116</v>
      </c>
      <c r="R89" s="2" t="s">
        <v>122</v>
      </c>
      <c r="T89" s="8" t="s">
        <v>119</v>
      </c>
      <c r="U89" s="8" t="s">
        <v>119</v>
      </c>
      <c r="V89" s="8" t="s">
        <v>119</v>
      </c>
      <c r="W89" s="8" t="s">
        <v>119</v>
      </c>
      <c r="X89" s="2" t="s">
        <v>127</v>
      </c>
      <c r="Y89" s="8"/>
      <c r="Z89" s="8"/>
    </row>
    <row r="90" spans="1:26" s="2" customFormat="1" x14ac:dyDescent="0.25">
      <c r="A90" s="3" t="s">
        <v>18</v>
      </c>
      <c r="B90" s="3">
        <v>2019</v>
      </c>
      <c r="C90" s="3" t="s">
        <v>17</v>
      </c>
      <c r="D90" s="3" t="s">
        <v>38</v>
      </c>
      <c r="E90" s="3">
        <v>23</v>
      </c>
      <c r="F90" s="3">
        <v>1</v>
      </c>
      <c r="G90" s="3">
        <v>8</v>
      </c>
      <c r="H90" s="2">
        <v>32</v>
      </c>
      <c r="I90" s="2">
        <v>1</v>
      </c>
      <c r="J90" s="2">
        <v>18</v>
      </c>
      <c r="K90" s="4">
        <v>1027.0999999999999</v>
      </c>
      <c r="L90" s="4">
        <v>13.6</v>
      </c>
      <c r="M90" s="2">
        <v>2</v>
      </c>
      <c r="N90" s="6">
        <v>37.105499999999999</v>
      </c>
      <c r="O90" s="6">
        <v>19.505400000000002</v>
      </c>
      <c r="P90" s="6">
        <v>56.610900000000001</v>
      </c>
      <c r="Q90" s="2" t="s">
        <v>117</v>
      </c>
      <c r="R90" s="2" t="s">
        <v>122</v>
      </c>
      <c r="T90" s="6">
        <v>42.65</v>
      </c>
      <c r="U90" s="6">
        <v>22.42</v>
      </c>
      <c r="V90" s="6">
        <v>65.069999999999993</v>
      </c>
      <c r="W90" s="8" t="s">
        <v>119</v>
      </c>
      <c r="X90" s="8" t="s">
        <v>119</v>
      </c>
      <c r="Y90" s="8"/>
      <c r="Z90" s="8"/>
    </row>
    <row r="91" spans="1:26" s="2" customFormat="1" x14ac:dyDescent="0.25">
      <c r="A91" s="3" t="s">
        <v>18</v>
      </c>
      <c r="B91" s="3">
        <v>2019</v>
      </c>
      <c r="C91" s="3" t="s">
        <v>17</v>
      </c>
      <c r="D91" s="3" t="s">
        <v>38</v>
      </c>
      <c r="E91" s="3">
        <v>23</v>
      </c>
      <c r="F91" s="3">
        <v>2</v>
      </c>
      <c r="G91" s="3">
        <v>31</v>
      </c>
      <c r="H91" s="2">
        <v>27</v>
      </c>
      <c r="I91" s="2">
        <v>1</v>
      </c>
      <c r="J91" s="2">
        <v>19</v>
      </c>
      <c r="K91" s="4">
        <v>1032.5999999999999</v>
      </c>
      <c r="L91" s="4">
        <v>12.3</v>
      </c>
      <c r="M91" s="2">
        <v>1</v>
      </c>
      <c r="N91" s="6">
        <v>35.061</v>
      </c>
      <c r="O91" s="6">
        <v>20.244900000000001</v>
      </c>
      <c r="P91" s="6">
        <v>55.305900000000001</v>
      </c>
      <c r="Q91" s="2" t="s">
        <v>117</v>
      </c>
      <c r="R91" s="2" t="s">
        <v>122</v>
      </c>
      <c r="T91" s="6">
        <v>40.299999999999997</v>
      </c>
      <c r="U91" s="6">
        <v>23.27</v>
      </c>
      <c r="V91" s="6">
        <v>63.569999999999993</v>
      </c>
      <c r="W91" s="8" t="s">
        <v>119</v>
      </c>
      <c r="X91" s="8" t="s">
        <v>119</v>
      </c>
      <c r="Y91" s="8"/>
      <c r="Z91" s="8"/>
    </row>
    <row r="92" spans="1:26" s="2" customFormat="1" x14ac:dyDescent="0.25">
      <c r="A92" s="3" t="s">
        <v>18</v>
      </c>
      <c r="B92" s="3">
        <v>2019</v>
      </c>
      <c r="C92" s="3" t="s">
        <v>17</v>
      </c>
      <c r="D92" s="3" t="s">
        <v>38</v>
      </c>
      <c r="E92" s="3">
        <v>23</v>
      </c>
      <c r="F92" s="3">
        <v>3</v>
      </c>
      <c r="G92" s="3">
        <v>64</v>
      </c>
      <c r="H92" s="2">
        <v>28</v>
      </c>
      <c r="I92" s="8" t="s">
        <v>119</v>
      </c>
      <c r="J92" s="8" t="s">
        <v>119</v>
      </c>
      <c r="K92" s="4" t="s">
        <v>119</v>
      </c>
      <c r="L92" s="4">
        <v>11.7</v>
      </c>
      <c r="M92" s="2">
        <v>1.5</v>
      </c>
      <c r="N92" s="6">
        <v>36.348599999999998</v>
      </c>
      <c r="O92" s="6">
        <v>20.079599999999999</v>
      </c>
      <c r="P92" s="6">
        <v>56.428199999999997</v>
      </c>
      <c r="Q92" s="2" t="s">
        <v>117</v>
      </c>
      <c r="R92" s="2" t="s">
        <v>122</v>
      </c>
      <c r="T92" s="6">
        <v>41.78</v>
      </c>
      <c r="U92" s="6">
        <v>23.08</v>
      </c>
      <c r="V92" s="6">
        <v>64.86</v>
      </c>
      <c r="W92" s="8" t="s">
        <v>119</v>
      </c>
      <c r="X92" s="8" t="s">
        <v>119</v>
      </c>
      <c r="Y92" s="8"/>
      <c r="Z92" s="8"/>
    </row>
    <row r="93" spans="1:26" s="2" customFormat="1" x14ac:dyDescent="0.25">
      <c r="A93" s="3" t="s">
        <v>18</v>
      </c>
      <c r="B93" s="3">
        <v>2019</v>
      </c>
      <c r="C93" s="3" t="s">
        <v>17</v>
      </c>
      <c r="D93" s="3" t="s">
        <v>38</v>
      </c>
      <c r="E93" s="3">
        <v>23</v>
      </c>
      <c r="F93" s="3">
        <v>4</v>
      </c>
      <c r="G93" s="3">
        <v>83</v>
      </c>
      <c r="H93" s="8" t="s">
        <v>119</v>
      </c>
      <c r="I93" s="8" t="s">
        <v>119</v>
      </c>
      <c r="J93" s="8" t="s">
        <v>119</v>
      </c>
      <c r="K93" s="4">
        <v>1302.4000000000001</v>
      </c>
      <c r="L93" s="4">
        <v>14</v>
      </c>
      <c r="M93" s="2">
        <v>2</v>
      </c>
      <c r="N93" s="8" t="s">
        <v>119</v>
      </c>
      <c r="O93" s="8" t="s">
        <v>119</v>
      </c>
      <c r="P93" s="6" t="s">
        <v>119</v>
      </c>
      <c r="Q93" s="2" t="s">
        <v>117</v>
      </c>
      <c r="R93" s="2" t="s">
        <v>122</v>
      </c>
      <c r="T93" s="8" t="s">
        <v>119</v>
      </c>
      <c r="U93" s="8" t="s">
        <v>119</v>
      </c>
      <c r="V93" s="8" t="s">
        <v>119</v>
      </c>
      <c r="W93" s="8" t="s">
        <v>119</v>
      </c>
      <c r="X93" s="8" t="s">
        <v>119</v>
      </c>
      <c r="Y93" s="8"/>
      <c r="Z93" s="8"/>
    </row>
    <row r="94" spans="1:26" s="2" customFormat="1" x14ac:dyDescent="0.25">
      <c r="A94" s="3" t="s">
        <v>18</v>
      </c>
      <c r="B94" s="3">
        <v>2019</v>
      </c>
      <c r="C94" s="3" t="s">
        <v>17</v>
      </c>
      <c r="D94" s="3" t="s">
        <v>129</v>
      </c>
      <c r="E94" s="3">
        <v>24</v>
      </c>
      <c r="F94" s="3">
        <v>1</v>
      </c>
      <c r="G94" s="3">
        <v>12</v>
      </c>
      <c r="H94" s="2">
        <v>20</v>
      </c>
      <c r="I94" s="2">
        <v>2</v>
      </c>
      <c r="J94" s="2">
        <v>27</v>
      </c>
      <c r="K94" s="4">
        <v>1003.5</v>
      </c>
      <c r="L94" s="4">
        <v>16.100000000000001</v>
      </c>
      <c r="M94" s="2">
        <v>2.5</v>
      </c>
      <c r="N94" s="6">
        <v>36.896699999999996</v>
      </c>
      <c r="O94" s="6">
        <v>20.610300000000002</v>
      </c>
      <c r="P94" s="6">
        <v>57.506999999999998</v>
      </c>
      <c r="Q94" s="2" t="s">
        <v>117</v>
      </c>
      <c r="R94" s="2" t="s">
        <v>123</v>
      </c>
      <c r="T94" s="6">
        <v>42.41</v>
      </c>
      <c r="U94" s="6">
        <v>23.69</v>
      </c>
      <c r="V94" s="6">
        <v>66.099999999999994</v>
      </c>
      <c r="W94" s="8" t="s">
        <v>119</v>
      </c>
      <c r="X94" s="8" t="s">
        <v>119</v>
      </c>
      <c r="Y94" s="8"/>
      <c r="Z94" s="8"/>
    </row>
    <row r="95" spans="1:26" s="2" customFormat="1" x14ac:dyDescent="0.25">
      <c r="A95" s="3" t="s">
        <v>18</v>
      </c>
      <c r="B95" s="3">
        <v>2019</v>
      </c>
      <c r="C95" s="3" t="s">
        <v>17</v>
      </c>
      <c r="D95" s="3" t="s">
        <v>129</v>
      </c>
      <c r="E95" s="3">
        <v>24</v>
      </c>
      <c r="F95" s="3">
        <v>2</v>
      </c>
      <c r="G95" s="3">
        <v>50</v>
      </c>
      <c r="H95" s="2">
        <v>22</v>
      </c>
      <c r="I95" s="2">
        <v>1.5</v>
      </c>
      <c r="J95" s="2">
        <v>26</v>
      </c>
      <c r="K95" s="4">
        <v>1261.0999999999999</v>
      </c>
      <c r="L95" s="4">
        <v>16.899999999999999</v>
      </c>
      <c r="M95" s="2">
        <v>3</v>
      </c>
      <c r="N95" s="6">
        <v>37.131599999999999</v>
      </c>
      <c r="O95" s="6">
        <v>20.479800000000001</v>
      </c>
      <c r="P95" s="6">
        <v>57.611400000000003</v>
      </c>
      <c r="Q95" s="2" t="s">
        <v>117</v>
      </c>
      <c r="R95" s="2" t="s">
        <v>123</v>
      </c>
      <c r="T95" s="6">
        <v>42.68</v>
      </c>
      <c r="U95" s="6">
        <v>23.54</v>
      </c>
      <c r="V95" s="6">
        <v>66.22</v>
      </c>
      <c r="W95" s="8" t="s">
        <v>119</v>
      </c>
      <c r="X95" s="8" t="s">
        <v>119</v>
      </c>
      <c r="Y95" s="8"/>
      <c r="Z95" s="8"/>
    </row>
    <row r="96" spans="1:26" s="2" customFormat="1" x14ac:dyDescent="0.25">
      <c r="A96" s="3" t="s">
        <v>18</v>
      </c>
      <c r="B96" s="3">
        <v>2019</v>
      </c>
      <c r="C96" s="3" t="s">
        <v>17</v>
      </c>
      <c r="D96" s="3" t="s">
        <v>129</v>
      </c>
      <c r="E96" s="3">
        <v>24</v>
      </c>
      <c r="F96" s="3">
        <v>3</v>
      </c>
      <c r="G96" s="3">
        <v>52</v>
      </c>
      <c r="H96" s="2">
        <v>22</v>
      </c>
      <c r="I96" s="8" t="s">
        <v>119</v>
      </c>
      <c r="J96" s="8" t="s">
        <v>119</v>
      </c>
      <c r="K96" s="4">
        <v>1282.7</v>
      </c>
      <c r="L96" s="4">
        <v>16.899999999999999</v>
      </c>
      <c r="M96" s="2">
        <v>2.5</v>
      </c>
      <c r="N96" s="6">
        <v>37.0533</v>
      </c>
      <c r="O96" s="6">
        <v>21.167099999999998</v>
      </c>
      <c r="P96" s="6">
        <v>58.220399999999998</v>
      </c>
      <c r="Q96" s="2" t="s">
        <v>117</v>
      </c>
      <c r="R96" s="2" t="s">
        <v>123</v>
      </c>
      <c r="T96" s="6">
        <v>42.59</v>
      </c>
      <c r="U96" s="6">
        <v>24.33</v>
      </c>
      <c r="V96" s="6">
        <v>66.92</v>
      </c>
      <c r="W96" s="8" t="s">
        <v>119</v>
      </c>
      <c r="X96" s="8" t="s">
        <v>119</v>
      </c>
      <c r="Y96" s="8"/>
      <c r="Z96" s="8"/>
    </row>
    <row r="97" spans="1:26" s="2" customFormat="1" x14ac:dyDescent="0.25">
      <c r="A97" s="3" t="s">
        <v>18</v>
      </c>
      <c r="B97" s="3">
        <v>2019</v>
      </c>
      <c r="C97" s="3" t="s">
        <v>17</v>
      </c>
      <c r="D97" s="3" t="s">
        <v>129</v>
      </c>
      <c r="E97" s="3">
        <v>24</v>
      </c>
      <c r="F97" s="3">
        <v>4</v>
      </c>
      <c r="G97" s="3">
        <v>77</v>
      </c>
      <c r="H97" s="8" t="s">
        <v>119</v>
      </c>
      <c r="I97" s="8" t="s">
        <v>119</v>
      </c>
      <c r="J97" s="8" t="s">
        <v>119</v>
      </c>
      <c r="K97" s="4">
        <v>863.7</v>
      </c>
      <c r="L97" s="4">
        <v>14.9</v>
      </c>
      <c r="M97" s="2">
        <v>3</v>
      </c>
      <c r="N97" s="8" t="s">
        <v>119</v>
      </c>
      <c r="O97" s="8" t="s">
        <v>119</v>
      </c>
      <c r="P97" s="6" t="s">
        <v>119</v>
      </c>
      <c r="Q97" s="2" t="s">
        <v>117</v>
      </c>
      <c r="R97" s="2" t="s">
        <v>123</v>
      </c>
      <c r="T97" s="8" t="s">
        <v>119</v>
      </c>
      <c r="U97" s="8" t="s">
        <v>119</v>
      </c>
      <c r="V97" s="8" t="s">
        <v>119</v>
      </c>
      <c r="W97" s="8" t="s">
        <v>119</v>
      </c>
      <c r="X97" s="8" t="s">
        <v>119</v>
      </c>
      <c r="Y97" s="8"/>
      <c r="Z97" s="8"/>
    </row>
    <row r="98" spans="1:26" s="2" customFormat="1" x14ac:dyDescent="0.25">
      <c r="A98" s="3" t="s">
        <v>18</v>
      </c>
      <c r="B98" s="3">
        <v>2019</v>
      </c>
      <c r="C98" s="3" t="s">
        <v>17</v>
      </c>
      <c r="D98" s="3" t="s">
        <v>25</v>
      </c>
      <c r="E98" s="3">
        <v>25</v>
      </c>
      <c r="F98" s="3">
        <v>1</v>
      </c>
      <c r="G98" s="3">
        <v>11</v>
      </c>
      <c r="H98" s="2">
        <v>31</v>
      </c>
      <c r="I98" s="2">
        <v>1</v>
      </c>
      <c r="J98" s="2">
        <v>22</v>
      </c>
      <c r="K98" s="4">
        <v>1059.0999999999999</v>
      </c>
      <c r="L98" s="4">
        <v>15.3</v>
      </c>
      <c r="M98" s="2">
        <v>2</v>
      </c>
      <c r="N98" s="6">
        <v>38.436599999999999</v>
      </c>
      <c r="O98" s="6">
        <v>19.122600000000002</v>
      </c>
      <c r="P98" s="6">
        <v>57.559200000000004</v>
      </c>
      <c r="Q98" s="2" t="s">
        <v>116</v>
      </c>
      <c r="R98" s="2" t="s">
        <v>122</v>
      </c>
      <c r="T98" s="6">
        <v>44.18</v>
      </c>
      <c r="U98" s="6">
        <v>21.98</v>
      </c>
      <c r="V98" s="6">
        <v>66.16</v>
      </c>
      <c r="W98" s="8" t="s">
        <v>119</v>
      </c>
      <c r="X98" s="8" t="s">
        <v>119</v>
      </c>
      <c r="Y98" s="8"/>
      <c r="Z98" s="8"/>
    </row>
    <row r="99" spans="1:26" s="2" customFormat="1" x14ac:dyDescent="0.25">
      <c r="A99" s="3" t="s">
        <v>18</v>
      </c>
      <c r="B99" s="3">
        <v>2019</v>
      </c>
      <c r="C99" s="3" t="s">
        <v>17</v>
      </c>
      <c r="D99" s="3" t="s">
        <v>25</v>
      </c>
      <c r="E99" s="3">
        <v>25</v>
      </c>
      <c r="F99" s="3">
        <v>2</v>
      </c>
      <c r="G99" s="3">
        <v>45</v>
      </c>
      <c r="H99" s="2">
        <v>33</v>
      </c>
      <c r="I99" s="2">
        <v>1</v>
      </c>
      <c r="J99" s="2">
        <v>22</v>
      </c>
      <c r="K99" s="4">
        <v>868.8</v>
      </c>
      <c r="L99" s="4">
        <v>13.4</v>
      </c>
      <c r="M99" s="2">
        <v>2</v>
      </c>
      <c r="N99" s="6">
        <v>38.001599999999996</v>
      </c>
      <c r="O99" s="6">
        <v>19.714200000000002</v>
      </c>
      <c r="P99" s="6">
        <v>57.715800000000002</v>
      </c>
      <c r="Q99" s="2" t="s">
        <v>116</v>
      </c>
      <c r="R99" s="2" t="s">
        <v>122</v>
      </c>
      <c r="T99" s="6">
        <v>43.68</v>
      </c>
      <c r="U99" s="6">
        <v>22.66</v>
      </c>
      <c r="V99" s="6">
        <v>66.34</v>
      </c>
      <c r="W99" s="8" t="s">
        <v>119</v>
      </c>
      <c r="X99" s="8" t="s">
        <v>119</v>
      </c>
      <c r="Y99" s="8"/>
      <c r="Z99" s="8"/>
    </row>
    <row r="100" spans="1:26" s="2" customFormat="1" x14ac:dyDescent="0.25">
      <c r="A100" s="3" t="s">
        <v>18</v>
      </c>
      <c r="B100" s="3">
        <v>2019</v>
      </c>
      <c r="C100" s="3" t="s">
        <v>17</v>
      </c>
      <c r="D100" s="3" t="s">
        <v>25</v>
      </c>
      <c r="E100" s="3">
        <v>25</v>
      </c>
      <c r="F100" s="3">
        <v>3</v>
      </c>
      <c r="G100" s="3">
        <v>66</v>
      </c>
      <c r="H100" s="2">
        <v>30</v>
      </c>
      <c r="I100" s="8" t="s">
        <v>119</v>
      </c>
      <c r="J100" s="8" t="s">
        <v>119</v>
      </c>
      <c r="K100" s="4">
        <v>1279.8</v>
      </c>
      <c r="L100" s="4">
        <v>13.8</v>
      </c>
      <c r="M100" s="2">
        <v>2</v>
      </c>
      <c r="N100" s="6">
        <v>38.471399999999996</v>
      </c>
      <c r="O100" s="6">
        <v>19.2531</v>
      </c>
      <c r="P100" s="6">
        <v>57.724499999999992</v>
      </c>
      <c r="Q100" s="2" t="s">
        <v>116</v>
      </c>
      <c r="R100" s="2" t="s">
        <v>122</v>
      </c>
      <c r="T100" s="6">
        <v>44.22</v>
      </c>
      <c r="U100" s="6">
        <v>22.13</v>
      </c>
      <c r="V100" s="6">
        <v>66.349999999999994</v>
      </c>
      <c r="W100" s="8" t="s">
        <v>119</v>
      </c>
      <c r="X100" s="8" t="s">
        <v>119</v>
      </c>
      <c r="Y100" s="8"/>
      <c r="Z100" s="8"/>
    </row>
    <row r="101" spans="1:26" s="2" customFormat="1" x14ac:dyDescent="0.25">
      <c r="A101" s="3" t="s">
        <v>18</v>
      </c>
      <c r="B101" s="3">
        <v>2019</v>
      </c>
      <c r="C101" s="3" t="s">
        <v>17</v>
      </c>
      <c r="D101" s="3" t="s">
        <v>25</v>
      </c>
      <c r="E101" s="3">
        <v>25</v>
      </c>
      <c r="F101" s="3">
        <v>4</v>
      </c>
      <c r="G101" s="3">
        <v>89</v>
      </c>
      <c r="H101" s="8" t="s">
        <v>119</v>
      </c>
      <c r="I101" s="8" t="s">
        <v>119</v>
      </c>
      <c r="J101" s="8" t="s">
        <v>119</v>
      </c>
      <c r="K101" s="4">
        <v>1372.7</v>
      </c>
      <c r="L101" s="4">
        <v>13.1</v>
      </c>
      <c r="M101" s="2">
        <v>1.5</v>
      </c>
      <c r="N101" s="8" t="s">
        <v>119</v>
      </c>
      <c r="O101" s="8" t="s">
        <v>119</v>
      </c>
      <c r="P101" s="6" t="s">
        <v>119</v>
      </c>
      <c r="Q101" s="2" t="s">
        <v>116</v>
      </c>
      <c r="R101" s="2" t="s">
        <v>122</v>
      </c>
      <c r="T101" s="8" t="s">
        <v>119</v>
      </c>
      <c r="U101" s="8" t="s">
        <v>119</v>
      </c>
      <c r="V101" s="8" t="s">
        <v>119</v>
      </c>
      <c r="W101" s="8" t="s">
        <v>119</v>
      </c>
      <c r="X101" s="8" t="s">
        <v>119</v>
      </c>
      <c r="Y101" s="8"/>
      <c r="Z101" s="8"/>
    </row>
    <row r="102" spans="1:26" x14ac:dyDescent="0.25">
      <c r="A102" s="8"/>
      <c r="B102" s="8"/>
      <c r="C102" s="8"/>
      <c r="D102" s="8"/>
      <c r="E102" s="8"/>
      <c r="F102" s="8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8"/>
      <c r="S102" s="8"/>
      <c r="T102" s="8"/>
      <c r="U102" s="8"/>
      <c r="V102" s="8"/>
      <c r="W102" s="8"/>
      <c r="X102" s="8"/>
      <c r="Y102" s="8"/>
      <c r="Z102" s="8"/>
    </row>
  </sheetData>
  <sortState xmlns:xlrd2="http://schemas.microsoft.com/office/spreadsheetml/2017/richdata2" ref="A2:Z103">
    <sortCondition ref="E2:E103"/>
  </sortState>
  <pageMargins left="0.7" right="0.7" top="0.75" bottom="0.75" header="0.3" footer="0.3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SAS ready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earl huie</dc:creator>
  <cp:lastModifiedBy>Earl B Huie Jr</cp:lastModifiedBy>
  <cp:lastPrinted>2020-01-15T14:59:52Z</cp:lastPrinted>
  <dcterms:created xsi:type="dcterms:W3CDTF">2011-09-02T14:49:08Z</dcterms:created>
  <dcterms:modified xsi:type="dcterms:W3CDTF">2020-01-22T16:33:06Z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BCO_ScreenResolution">
    <vt:lpwstr>96 96 1920 1200</vt:lpwstr>
  </property>
</Properties>
</file>